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"/>
    </mc:Choice>
  </mc:AlternateContent>
  <xr:revisionPtr revIDLastSave="4" documentId="8_{1E8C0116-8997-4D11-8976-DB2EF40956FC}" xr6:coauthVersionLast="47" xr6:coauthVersionMax="47" xr10:uidLastSave="{CF174161-80C5-4B73-AD73-4C40996EE5A7}"/>
  <bookViews>
    <workbookView xWindow="40920" yWindow="-120" windowWidth="29040" windowHeight="15720" activeTab="6" xr2:uid="{00000000-000D-0000-FFFF-FFFF00000000}"/>
  </bookViews>
  <sheets>
    <sheet name="Dashboard" sheetId="1" r:id="rId1"/>
    <sheet name="cat_listas" sheetId="2" r:id="rId2"/>
    <sheet name="cat_sintoma" sheetId="3" r:id="rId3"/>
    <sheet name="sys_parametros" sheetId="4" r:id="rId4"/>
    <sheet name="objetivos" sheetId="5" r:id="rId5"/>
    <sheet name="acciones" sheetId="6" r:id="rId6"/>
    <sheet name="ejecuciones_accion" sheetId="7" r:id="rId7"/>
    <sheet name="ta" sheetId="8" r:id="rId8"/>
    <sheet name="peso" sheetId="9" r:id="rId9"/>
    <sheet name="sueno" sheetId="10" r:id="rId10"/>
    <sheet name="sintomas" sheetId="11" r:id="rId11"/>
    <sheet name="arritmias_eventos" sheetId="12" r:id="rId12"/>
    <sheet name="actividad_garmin_semana" sheetId="13" r:id="rId13"/>
    <sheet name="anaerobico" sheetId="14" r:id="rId14"/>
    <sheet name="nutricion_items" sheetId="15" r:id="rId15"/>
    <sheet name="nutricion_checklist" sheetId="16" r:id="rId16"/>
    <sheet name="analiticas_panel" sheetId="17" r:id="rId17"/>
    <sheet name="cat_biomarcador" sheetId="18" r:id="rId18"/>
    <sheet name="analiticas_resultados" sheetId="19" r:id="rId19"/>
    <sheet name="cat_medicacion" sheetId="20" r:id="rId20"/>
  </sheets>
  <definedNames>
    <definedName name="lst_categoria_nutricion">cat_listas!$J$2:$J$3</definedName>
    <definedName name="lst_contexto">cat_listas!$H$2:$H$7</definedName>
    <definedName name="lst_estado_ejecucion">cat_listas!$D$2:$D$4</definedName>
    <definedName name="lst_estrategia_medicacion">cat_listas!$I$2:$I$4</definedName>
    <definedName name="lst_fuente">cat_listas!$E$2:$E$4</definedName>
    <definedName name="lst_local">cat_listas!$G$2:$G$4</definedName>
    <definedName name="lst_momento">cat_listas!$B$2:$B$3</definedName>
    <definedName name="lst_sensacion">cat_listas!$C$2:$C$4</definedName>
    <definedName name="lst_sn">cat_listas!$A$2:$A$3</definedName>
    <definedName name="lst_tipo_ejercicio">cat_listas!$F$2:$F$4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" i="10" l="1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B22" i="1"/>
  <c r="B21" i="1"/>
  <c r="B15" i="1"/>
  <c r="B14" i="1"/>
  <c r="B12" i="1"/>
  <c r="B9" i="1"/>
  <c r="B8" i="1"/>
  <c r="B7" i="1"/>
  <c r="B6" i="1"/>
  <c r="B5" i="1"/>
  <c r="B4" i="1"/>
  <c r="B16" i="1" l="1"/>
</calcChain>
</file>

<file path=xl/sharedStrings.xml><?xml version="1.0" encoding="utf-8"?>
<sst xmlns="http://schemas.openxmlformats.org/spreadsheetml/2006/main" count="348" uniqueCount="223">
  <si>
    <t>Cuadro de mando salud — MVP (Excel)</t>
  </si>
  <si>
    <t>fecha_referencia</t>
  </si>
  <si>
    <t>Notas uso</t>
  </si>
  <si>
    <t>ta_media_7d_am_sys</t>
  </si>
  <si>
    <t>1) Rellena solo hojas: ta, peso, sueno, sintomas y (si ocurre) arritmias_eventos.</t>
  </si>
  <si>
    <t>ta_media_7d_am_dia</t>
  </si>
  <si>
    <t>2) Una vez por semana: actividad_garmin_semana (pegar totales) + revision Dashboard.</t>
  </si>
  <si>
    <t>ta_media_7d_pm_sys</t>
  </si>
  <si>
    <t>3) Listas desplegables vienen de cat_listas.</t>
  </si>
  <si>
    <t>ta_media_7d_pm_dia</t>
  </si>
  <si>
    <t>ta_media_7d_global_sys</t>
  </si>
  <si>
    <t>ta_media_7d_global_dia</t>
  </si>
  <si>
    <t>sleep_racha_malas_noches</t>
  </si>
  <si>
    <t>sleep_semaforo</t>
  </si>
  <si>
    <t>peso_ultima</t>
  </si>
  <si>
    <t>peso_media_30d</t>
  </si>
  <si>
    <t>peso_delta_30d</t>
  </si>
  <si>
    <t>aerobico_min_semana_actual</t>
  </si>
  <si>
    <t>aerobico_sensacion_semana_actual</t>
  </si>
  <si>
    <t>arritmia_ultimo_inicio</t>
  </si>
  <si>
    <t>arritmia_total_12m</t>
  </si>
  <si>
    <t>sn</t>
  </si>
  <si>
    <t>momento</t>
  </si>
  <si>
    <t>sensacion</t>
  </si>
  <si>
    <t>estado_ejecucion</t>
  </si>
  <si>
    <t>fuente</t>
  </si>
  <si>
    <t>tipo_ejercicio</t>
  </si>
  <si>
    <t>local</t>
  </si>
  <si>
    <t>contexto</t>
  </si>
  <si>
    <t>estrategia_medicacion</t>
  </si>
  <si>
    <t>categoria_nutricion</t>
  </si>
  <si>
    <t>S</t>
  </si>
  <si>
    <t>AM</t>
  </si>
  <si>
    <t>bien</t>
  </si>
  <si>
    <t>done</t>
  </si>
  <si>
    <t>manual</t>
  </si>
  <si>
    <t>maquinas</t>
  </si>
  <si>
    <t>GIMNASIO1</t>
  </si>
  <si>
    <t>reposo</t>
  </si>
  <si>
    <t>pill_in_pocket</t>
  </si>
  <si>
    <t>favorecer</t>
  </si>
  <si>
    <t>N</t>
  </si>
  <si>
    <t>PM</t>
  </si>
  <si>
    <t>regular</t>
  </si>
  <si>
    <t>skip</t>
  </si>
  <si>
    <t>garmin</t>
  </si>
  <si>
    <t>grupo</t>
  </si>
  <si>
    <t>GIMNASIO2</t>
  </si>
  <si>
    <t>ejer_aerobico</t>
  </si>
  <si>
    <t>permanente</t>
  </si>
  <si>
    <t>restringir</t>
  </si>
  <si>
    <t>mal</t>
  </si>
  <si>
    <t>partial</t>
  </si>
  <si>
    <t>import</t>
  </si>
  <si>
    <t>natacion</t>
  </si>
  <si>
    <t>OTRO</t>
  </si>
  <si>
    <t>sueno</t>
  </si>
  <si>
    <t>otro</t>
  </si>
  <si>
    <t>estres</t>
  </si>
  <si>
    <t>postcomida</t>
  </si>
  <si>
    <t>sintoma_codigo</t>
  </si>
  <si>
    <t>nombre</t>
  </si>
  <si>
    <t>tipo_valor</t>
  </si>
  <si>
    <t>rango_min</t>
  </si>
  <si>
    <t>rango_max</t>
  </si>
  <si>
    <t>activo</t>
  </si>
  <si>
    <t>A_CADERA_DOLOR</t>
  </si>
  <si>
    <t>cadera_dolor</t>
  </si>
  <si>
    <t>NUM</t>
  </si>
  <si>
    <t>A_CADERA_LIMITACION</t>
  </si>
  <si>
    <t>cadera_limitacion</t>
  </si>
  <si>
    <t>SN</t>
  </si>
  <si>
    <t>B_PIERNAS_HINCHAZON</t>
  </si>
  <si>
    <t>piernas_hinchazon</t>
  </si>
  <si>
    <t>B_PIEL_VARICES_EMPEORA</t>
  </si>
  <si>
    <t>piernas_piel_varices_empeora</t>
  </si>
  <si>
    <t>C_MAREO_PRESINCOPE</t>
  </si>
  <si>
    <t>mareo_presincope</t>
  </si>
  <si>
    <t>D_PALPITACIONES_PERCIBIDAS</t>
  </si>
  <si>
    <t>palpitaciones_percibidas</t>
  </si>
  <si>
    <t>E_EDEMA_MARCADO</t>
  </si>
  <si>
    <t>edema_marcado</t>
  </si>
  <si>
    <t>parametro</t>
  </si>
  <si>
    <t>valor</t>
  </si>
  <si>
    <t>descripcion</t>
  </si>
  <si>
    <t>sleep_bad_min_hours</t>
  </si>
  <si>
    <t>Umbral (editable) para considerar 'mala noche' por horas.</t>
  </si>
  <si>
    <t>sleep_bad_max_quality</t>
  </si>
  <si>
    <t>Umbral (editable) para considerar 'mala noche' por calidad (&lt;=).</t>
  </si>
  <si>
    <t>sleep_streak_orange</t>
  </si>
  <si>
    <t>Racha de malas noches para NARANJA (&gt;=).</t>
  </si>
  <si>
    <t>sleep_streak_red</t>
  </si>
  <si>
    <t>Racha de malas noches para ROJO (&gt;=).</t>
  </si>
  <si>
    <t>weight_trend_days</t>
  </si>
  <si>
    <t>Ventana (días) para tendencia de peso.</t>
  </si>
  <si>
    <t>ta_rolling_days</t>
  </si>
  <si>
    <t>Ventana (días) para medias móviles de TA.</t>
  </si>
  <si>
    <t>objetivo_id</t>
  </si>
  <si>
    <t>objetivo_codigo</t>
  </si>
  <si>
    <t>unidad</t>
  </si>
  <si>
    <t>frecuencia_objetivo</t>
  </si>
  <si>
    <t>fecha_inicio</t>
  </si>
  <si>
    <t>fecha_fin</t>
  </si>
  <si>
    <t>activo_sn</t>
  </si>
  <si>
    <t>nota</t>
  </si>
  <si>
    <t>TA_HOME</t>
  </si>
  <si>
    <t>tension_arterial_casa</t>
  </si>
  <si>
    <t>TA AM+PM 3d/sem; 2 lecturas AM + 2 lecturas PM; medias 7d AM/PM/global</t>
  </si>
  <si>
    <t>mmHg</t>
  </si>
  <si>
    <t>3d_semana</t>
  </si>
  <si>
    <t>2026-01-01</t>
  </si>
  <si>
    <t>ARRITMIA_EVT</t>
  </si>
  <si>
    <t>arritmias_eventos</t>
  </si>
  <si>
    <t>Registro por evento: inicio/fin, duracion, sintomas, contexto, medicacion, recuperacion</t>
  </si>
  <si>
    <t>evento</t>
  </si>
  <si>
    <t>por_evento</t>
  </si>
  <si>
    <t>AEROBICO_SEM</t>
  </si>
  <si>
    <t>aerobico</t>
  </si>
  <si>
    <t>Minutos/semana (Garmin) + sensacion bien/regular/mal</t>
  </si>
  <si>
    <t>min_sem</t>
  </si>
  <si>
    <t>semanal</t>
  </si>
  <si>
    <t>SUENO</t>
  </si>
  <si>
    <t>Horas + calidad 1-5 + rachas (2 naranja, 3-5 rojo)</t>
  </si>
  <si>
    <t>h</t>
  </si>
  <si>
    <t>diario</t>
  </si>
  <si>
    <t>PESO</t>
  </si>
  <si>
    <t>peso</t>
  </si>
  <si>
    <t>Peso 2-3/semana + tendencia 30 dias</t>
  </si>
  <si>
    <t>kg</t>
  </si>
  <si>
    <t>2-3_semana</t>
  </si>
  <si>
    <t>SINTOMAS</t>
  </si>
  <si>
    <t>sintomas</t>
  </si>
  <si>
    <t>Sintomas diarios A-E (ver hoja sintomas)</t>
  </si>
  <si>
    <t>mix</t>
  </si>
  <si>
    <t>accion_id</t>
  </si>
  <si>
    <t>accion_codigo</t>
  </si>
  <si>
    <t>tipo</t>
  </si>
  <si>
    <t>frecuencia</t>
  </si>
  <si>
    <t>prioridad</t>
  </si>
  <si>
    <t>activa_sn</t>
  </si>
  <si>
    <t>REG_TA</t>
  </si>
  <si>
    <t>registrar_ta</t>
  </si>
  <si>
    <t>Tomar y registrar TA (AM y/o PM) segun plan</t>
  </si>
  <si>
    <t>registro</t>
  </si>
  <si>
    <t>IMP_GARMIN</t>
  </si>
  <si>
    <t>importar_garmin</t>
  </si>
  <si>
    <t>Registrar minutos aerobico/semana y sensacion (desde Garmin)</t>
  </si>
  <si>
    <t>importacion</t>
  </si>
  <si>
    <t>REG_SUENO</t>
  </si>
  <si>
    <t>registrar_sueno</t>
  </si>
  <si>
    <t>Registrar horas y calidad de sueno</t>
  </si>
  <si>
    <t>REG_PESO</t>
  </si>
  <si>
    <t>registrar_peso</t>
  </si>
  <si>
    <t>Registrar peso</t>
  </si>
  <si>
    <t>REG_SINT</t>
  </si>
  <si>
    <t>registrar_sintomas</t>
  </si>
  <si>
    <t>Registrar sintomas diarios A-E</t>
  </si>
  <si>
    <t>REG_ARRIT</t>
  </si>
  <si>
    <t>registrar_arritmia</t>
  </si>
  <si>
    <t>Registrar evento de arritmia cuando ocurra</t>
  </si>
  <si>
    <t>REV_SEM</t>
  </si>
  <si>
    <t>revision_semanal</t>
  </si>
  <si>
    <t>Revision semanal del Dashboard (tendencias + semaforo)</t>
  </si>
  <si>
    <t>revision</t>
  </si>
  <si>
    <t>ejecucion_id</t>
  </si>
  <si>
    <t>fecha</t>
  </si>
  <si>
    <t>hora</t>
  </si>
  <si>
    <t>estado</t>
  </si>
  <si>
    <t>duracion_min</t>
  </si>
  <si>
    <t>ta_id</t>
  </si>
  <si>
    <t>lectura_n</t>
  </si>
  <si>
    <t>sistolica</t>
  </si>
  <si>
    <t>diastolica</t>
  </si>
  <si>
    <t>pulso</t>
  </si>
  <si>
    <t>valida_sn</t>
  </si>
  <si>
    <t>peso_id</t>
  </si>
  <si>
    <t>peso_kg</t>
  </si>
  <si>
    <t>sueno_id</t>
  </si>
  <si>
    <t>horas</t>
  </si>
  <si>
    <t>calidad_1_5</t>
  </si>
  <si>
    <t>bad_night_sn</t>
  </si>
  <si>
    <t>sintomas_id</t>
  </si>
  <si>
    <t>cadera_dolor_0_10</t>
  </si>
  <si>
    <t>cadera_limitacion_sn</t>
  </si>
  <si>
    <t>piernas_hinchazon_0_3</t>
  </si>
  <si>
    <t>piernas_piel_varices_empeora_sn</t>
  </si>
  <si>
    <t>mareo_presincope_sn</t>
  </si>
  <si>
    <t>palpitaciones_percibidas_sn</t>
  </si>
  <si>
    <t>edema_marcado_sn</t>
  </si>
  <si>
    <t>evento_id</t>
  </si>
  <si>
    <t>inicio_ts</t>
  </si>
  <si>
    <t>fin_ts</t>
  </si>
  <si>
    <t>sintomas_resumen</t>
  </si>
  <si>
    <t>medicacion</t>
  </si>
  <si>
    <t>dosis_mg</t>
  </si>
  <si>
    <t>tiempo_a_remision_min</t>
  </si>
  <si>
    <t>recuperacion_resumen</t>
  </si>
  <si>
    <t>semana_inicio</t>
  </si>
  <si>
    <t>minutos_aerobico</t>
  </si>
  <si>
    <t>sesion_id</t>
  </si>
  <si>
    <t>tolerancia</t>
  </si>
  <si>
    <t>item_id</t>
  </si>
  <si>
    <t>categoria</t>
  </si>
  <si>
    <t>item_nombre</t>
  </si>
  <si>
    <t>cuchara</t>
  </si>
  <si>
    <t>ensalada</t>
  </si>
  <si>
    <t>fruta</t>
  </si>
  <si>
    <t>chocolate_negro</t>
  </si>
  <si>
    <t>sal</t>
  </si>
  <si>
    <t>queso</t>
  </si>
  <si>
    <t>embutidos</t>
  </si>
  <si>
    <t>check_id</t>
  </si>
  <si>
    <t>veces_0_7</t>
  </si>
  <si>
    <t>panel_id</t>
  </si>
  <si>
    <t>laboratorio</t>
  </si>
  <si>
    <t>biomarcador_id</t>
  </si>
  <si>
    <t>resultado_id</t>
  </si>
  <si>
    <t>valor_num</t>
  </si>
  <si>
    <t>valor_text</t>
  </si>
  <si>
    <t>medicacion_id</t>
  </si>
  <si>
    <t>presentacion</t>
  </si>
  <si>
    <t>apocard</t>
  </si>
  <si>
    <t>100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</si>
</sst>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at_sintoma" displayName="t_cat_sintoma" ref="A1:F11">
  <autoFilter ref="A1:F11" xr:uid="{00000000-0009-0000-0100-000001000000}"/>
  <tableColumns count="6">
    <tableColumn id="1" xr3:uid="{00000000-0010-0000-0000-000001000000}" name="sintoma_codigo"/>
    <tableColumn id="2" xr3:uid="{00000000-0010-0000-0000-000002000000}" name="nombre"/>
    <tableColumn id="3" xr3:uid="{00000000-0010-0000-0000-000003000000}" name="tipo_valor"/>
    <tableColumn id="4" xr3:uid="{00000000-0010-0000-0000-000004000000}" name="rango_min"/>
    <tableColumn id="5" xr3:uid="{00000000-0010-0000-0000-000005000000}" name="rango_max"/>
    <tableColumn id="6" xr3:uid="{00000000-0010-0000-0000-000006000000}" name="activ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ys_parametros" displayName="t_sys_parametros" ref="A1:C31">
  <autoFilter ref="A1:C31" xr:uid="{00000000-0009-0000-0100-000002000000}"/>
  <tableColumns count="3">
    <tableColumn id="1" xr3:uid="{00000000-0010-0000-0100-000001000000}" name="parametro"/>
    <tableColumn id="2" xr3:uid="{00000000-0010-0000-0100-000002000000}" name="valor"/>
    <tableColumn id="3" xr3:uid="{00000000-0010-0000-0100-000003000000}" name="descrip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objetivos" displayName="t_objetivos" ref="A1:J51">
  <autoFilter ref="A1:J51" xr:uid="{00000000-0009-0000-0100-000003000000}"/>
  <tableColumns count="10">
    <tableColumn id="1" xr3:uid="{00000000-0010-0000-0200-000001000000}" name="objetivo_id"/>
    <tableColumn id="2" xr3:uid="{00000000-0010-0000-0200-000002000000}" name="objetivo_codigo"/>
    <tableColumn id="3" xr3:uid="{00000000-0010-0000-0200-000003000000}" name="nombre"/>
    <tableColumn id="4" xr3:uid="{00000000-0010-0000-0200-000004000000}" name="descripcion"/>
    <tableColumn id="5" xr3:uid="{00000000-0010-0000-0200-000005000000}" name="unidad"/>
    <tableColumn id="6" xr3:uid="{00000000-0010-0000-0200-000006000000}" name="frecuencia_objetivo"/>
    <tableColumn id="7" xr3:uid="{00000000-0010-0000-0200-000007000000}" name="fecha_inicio"/>
    <tableColumn id="8" xr3:uid="{00000000-0010-0000-0200-000008000000}" name="fecha_fin"/>
    <tableColumn id="9" xr3:uid="{00000000-0010-0000-0200-000009000000}" name="activo_sn"/>
    <tableColumn id="10" xr3:uid="{00000000-0010-0000-0200-00000A000000}" name="not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acciones" displayName="t_acciones" ref="A1:L101">
  <autoFilter ref="A1:L101" xr:uid="{00000000-0009-0000-0100-000004000000}"/>
  <tableColumns count="12">
    <tableColumn id="1" xr3:uid="{00000000-0010-0000-0300-000001000000}" name="accion_id"/>
    <tableColumn id="2" xr3:uid="{00000000-0010-0000-0300-000002000000}" name="objetivo_id"/>
    <tableColumn id="3" xr3:uid="{00000000-0010-0000-0300-000003000000}" name="accion_codigo"/>
    <tableColumn id="4" xr3:uid="{00000000-0010-0000-0300-000004000000}" name="nombre"/>
    <tableColumn id="5" xr3:uid="{00000000-0010-0000-0300-000005000000}" name="descripcion"/>
    <tableColumn id="6" xr3:uid="{00000000-0010-0000-0300-000006000000}" name="tipo"/>
    <tableColumn id="7" xr3:uid="{00000000-0010-0000-0300-000007000000}" name="frecuencia"/>
    <tableColumn id="8" xr3:uid="{00000000-0010-0000-0300-000008000000}" name="prioridad"/>
    <tableColumn id="9" xr3:uid="{00000000-0010-0000-0300-000009000000}" name="fecha_inicio"/>
    <tableColumn id="10" xr3:uid="{00000000-0010-0000-0300-00000A000000}" name="fecha_fin"/>
    <tableColumn id="11" xr3:uid="{00000000-0010-0000-0300-00000B000000}" name="activa_sn"/>
    <tableColumn id="12" xr3:uid="{00000000-0010-0000-0300-00000C000000}" name="not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ejecuciones_accion" displayName="t_ejecuciones_accion" ref="A1:H501">
  <autoFilter ref="A1:H501" xr:uid="{00000000-0009-0000-0100-000005000000}"/>
  <tableColumns count="8">
    <tableColumn id="1" xr3:uid="{00000000-0010-0000-0400-000001000000}" name="ejecucion_id"/>
    <tableColumn id="2" xr3:uid="{00000000-0010-0000-0400-000002000000}" name="accion_id"/>
    <tableColumn id="3" xr3:uid="{00000000-0010-0000-0400-000003000000}" name="fecha"/>
    <tableColumn id="4" xr3:uid="{00000000-0010-0000-0400-000004000000}" name="hora"/>
    <tableColumn id="5" xr3:uid="{00000000-0010-0000-0400-000005000000}" name="estado"/>
    <tableColumn id="6" xr3:uid="{00000000-0010-0000-0400-000006000000}" name="duracion_min"/>
    <tableColumn id="7" xr3:uid="{00000000-0010-0000-0400-000007000000}" name="fuente"/>
    <tableColumn id="8" xr3:uid="{00000000-0010-0000-0400-000008000000}" name="not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ta" displayName="t_ta" ref="A1:K2001">
  <autoFilter ref="A1:K2001" xr:uid="{00000000-0009-0000-0100-000006000000}"/>
  <tableColumns count="11">
    <tableColumn id="1" xr3:uid="{00000000-0010-0000-0500-000001000000}" name="ta_id"/>
    <tableColumn id="2" xr3:uid="{00000000-0010-0000-0500-000002000000}" name="fecha"/>
    <tableColumn id="3" xr3:uid="{00000000-0010-0000-0500-000003000000}" name="hora"/>
    <tableColumn id="4" xr3:uid="{00000000-0010-0000-0500-000004000000}" name="momento"/>
    <tableColumn id="5" xr3:uid="{00000000-0010-0000-0500-000005000000}" name="lectura_n"/>
    <tableColumn id="6" xr3:uid="{00000000-0010-0000-0500-000006000000}" name="sistolica"/>
    <tableColumn id="7" xr3:uid="{00000000-0010-0000-0500-000007000000}" name="diastolica"/>
    <tableColumn id="8" xr3:uid="{00000000-0010-0000-0500-000008000000}" name="pulso"/>
    <tableColumn id="9" xr3:uid="{00000000-0010-0000-0500-000009000000}" name="fuente"/>
    <tableColumn id="10" xr3:uid="{00000000-0010-0000-0500-00000A000000}" name="valida_sn"/>
    <tableColumn id="11" xr3:uid="{00000000-0010-0000-0500-00000B000000}" name="not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eso" displayName="t_peso" ref="A1:F801">
  <autoFilter ref="A1:F801" xr:uid="{00000000-0009-0000-0100-000007000000}"/>
  <tableColumns count="6">
    <tableColumn id="1" xr3:uid="{00000000-0010-0000-0600-000001000000}" name="peso_id"/>
    <tableColumn id="2" xr3:uid="{00000000-0010-0000-0600-000002000000}" name="fecha"/>
    <tableColumn id="3" xr3:uid="{00000000-0010-0000-0600-000003000000}" name="hora"/>
    <tableColumn id="4" xr3:uid="{00000000-0010-0000-0600-000004000000}" name="peso_kg"/>
    <tableColumn id="5" xr3:uid="{00000000-0010-0000-0600-000005000000}" name="fuente"/>
    <tableColumn id="6" xr3:uid="{00000000-0010-0000-0600-000006000000}" name="not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ueno" displayName="t_sueno" ref="A1:G801">
  <autoFilter ref="A1:G801" xr:uid="{00000000-0009-0000-0100-000008000000}"/>
  <tableColumns count="7">
    <tableColumn id="1" xr3:uid="{00000000-0010-0000-0700-000001000000}" name="sueno_id"/>
    <tableColumn id="2" xr3:uid="{00000000-0010-0000-0700-000002000000}" name="fecha"/>
    <tableColumn id="3" xr3:uid="{00000000-0010-0000-0700-000003000000}" name="horas"/>
    <tableColumn id="4" xr3:uid="{00000000-0010-0000-0700-000004000000}" name="calidad_1_5"/>
    <tableColumn id="5" xr3:uid="{00000000-0010-0000-0700-000005000000}" name="bad_night_sn"/>
    <tableColumn id="6" xr3:uid="{00000000-0010-0000-0700-000006000000}" name="fuente"/>
    <tableColumn id="7" xr3:uid="{00000000-0010-0000-0700-000007000000}" name="not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sintomas" displayName="t_sintomas" ref="A1:K801">
  <autoFilter ref="A1:K801" xr:uid="{00000000-0009-0000-0100-000009000000}"/>
  <tableColumns count="11">
    <tableColumn id="1" xr3:uid="{00000000-0010-0000-0800-000001000000}" name="sintomas_id"/>
    <tableColumn id="2" xr3:uid="{00000000-0010-0000-0800-000002000000}" name="fecha"/>
    <tableColumn id="3" xr3:uid="{00000000-0010-0000-0800-000003000000}" name="cadera_dolor_0_10"/>
    <tableColumn id="4" xr3:uid="{00000000-0010-0000-0800-000004000000}" name="cadera_limitacion_sn"/>
    <tableColumn id="5" xr3:uid="{00000000-0010-0000-0800-000005000000}" name="piernas_hinchazon_0_3"/>
    <tableColumn id="6" xr3:uid="{00000000-0010-0000-0800-000006000000}" name="piernas_piel_varices_empeora_sn"/>
    <tableColumn id="7" xr3:uid="{00000000-0010-0000-0800-000007000000}" name="mareo_presincope_sn"/>
    <tableColumn id="8" xr3:uid="{00000000-0010-0000-0800-000008000000}" name="palpitaciones_percibidas_sn"/>
    <tableColumn id="9" xr3:uid="{00000000-0010-0000-0800-000009000000}" name="edema_marcado_sn"/>
    <tableColumn id="10" xr3:uid="{00000000-0010-0000-0800-00000A000000}" name="fuente"/>
    <tableColumn id="11" xr3:uid="{00000000-0010-0000-0800-00000B000000}" name="not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arritmias_eventos" displayName="t_arritmias_eventos" ref="A1:M201">
  <autoFilter ref="A1:M201" xr:uid="{00000000-0009-0000-0100-00000A000000}"/>
  <tableColumns count="13">
    <tableColumn id="1" xr3:uid="{00000000-0010-0000-0900-000001000000}" name="evento_id"/>
    <tableColumn id="2" xr3:uid="{00000000-0010-0000-0900-000002000000}" name="inicio_ts"/>
    <tableColumn id="3" xr3:uid="{00000000-0010-0000-0900-000003000000}" name="fin_ts"/>
    <tableColumn id="4" xr3:uid="{00000000-0010-0000-0900-000004000000}" name="duracion_min"/>
    <tableColumn id="5" xr3:uid="{00000000-0010-0000-0900-000005000000}" name="contexto"/>
    <tableColumn id="6" xr3:uid="{00000000-0010-0000-0900-000006000000}" name="sintomas_resumen"/>
    <tableColumn id="7" xr3:uid="{00000000-0010-0000-0900-000007000000}" name="medicacion"/>
    <tableColumn id="8" xr3:uid="{00000000-0010-0000-0900-000008000000}" name="dosis_mg"/>
    <tableColumn id="9" xr3:uid="{00000000-0010-0000-0900-000009000000}" name="estrategia_medicacion"/>
    <tableColumn id="10" xr3:uid="{00000000-0010-0000-0900-00000A000000}" name="tiempo_a_remision_min"/>
    <tableColumn id="11" xr3:uid="{00000000-0010-0000-0900-00000B000000}" name="recuperacion_resumen"/>
    <tableColumn id="12" xr3:uid="{00000000-0010-0000-0900-00000C000000}" name="fuente"/>
    <tableColumn id="13" xr3:uid="{00000000-0010-0000-0900-00000D000000}" name="not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actividad_garmin_semana" displayName="t_actividad_garmin_semana" ref="A1:E201">
  <autoFilter ref="A1:E201" xr:uid="{00000000-0009-0000-0100-00000B000000}"/>
  <tableColumns count="5">
    <tableColumn id="1" xr3:uid="{00000000-0010-0000-0A00-000001000000}" name="semana_inicio"/>
    <tableColumn id="2" xr3:uid="{00000000-0010-0000-0A00-000002000000}" name="minutos_aerobico"/>
    <tableColumn id="3" xr3:uid="{00000000-0010-0000-0A00-000003000000}" name="sensacion"/>
    <tableColumn id="4" xr3:uid="{00000000-0010-0000-0A00-000004000000}" name="fuente"/>
    <tableColumn id="5" xr3:uid="{00000000-0010-0000-0A00-000005000000}" name="not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anaerobico" displayName="t_anaerobico" ref="A1:H401">
  <autoFilter ref="A1:H401" xr:uid="{00000000-0009-0000-0100-00000C000000}"/>
  <tableColumns count="8">
    <tableColumn id="1" xr3:uid="{00000000-0010-0000-0B00-000001000000}" name="sesion_id"/>
    <tableColumn id="2" xr3:uid="{00000000-0010-0000-0B00-000002000000}" name="fecha"/>
    <tableColumn id="3" xr3:uid="{00000000-0010-0000-0B00-000003000000}" name="tipo_ejercicio"/>
    <tableColumn id="4" xr3:uid="{00000000-0010-0000-0B00-000004000000}" name="local"/>
    <tableColumn id="5" xr3:uid="{00000000-0010-0000-0B00-000005000000}" name="duracion_min"/>
    <tableColumn id="6" xr3:uid="{00000000-0010-0000-0B00-000006000000}" name="tolerancia"/>
    <tableColumn id="7" xr3:uid="{00000000-0010-0000-0B00-000007000000}" name="fuente"/>
    <tableColumn id="8" xr3:uid="{00000000-0010-0000-0B00-000008000000}" name="nota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nutricion_items" displayName="t_nutricion_items" ref="A1:E201">
  <autoFilter ref="A1:E201" xr:uid="{00000000-0009-0000-0100-00000D000000}"/>
  <tableColumns count="5">
    <tableColumn id="1" xr3:uid="{00000000-0010-0000-0C00-000001000000}" name="item_id"/>
    <tableColumn id="2" xr3:uid="{00000000-0010-0000-0C00-000002000000}" name="categoria"/>
    <tableColumn id="3" xr3:uid="{00000000-0010-0000-0C00-000003000000}" name="item_nombre"/>
    <tableColumn id="4" xr3:uid="{00000000-0010-0000-0C00-000004000000}" name="activo_sn"/>
    <tableColumn id="5" xr3:uid="{00000000-0010-0000-0C00-000005000000}" name="not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nutricion_checklist" displayName="t_nutricion_checklist" ref="A1:E1001">
  <autoFilter ref="A1:E1001" xr:uid="{00000000-0009-0000-0100-00000E000000}"/>
  <tableColumns count="5">
    <tableColumn id="1" xr3:uid="{00000000-0010-0000-0D00-000001000000}" name="check_id"/>
    <tableColumn id="2" xr3:uid="{00000000-0010-0000-0D00-000002000000}" name="semana_inicio"/>
    <tableColumn id="3" xr3:uid="{00000000-0010-0000-0D00-000003000000}" name="item_id"/>
    <tableColumn id="4" xr3:uid="{00000000-0010-0000-0D00-000004000000}" name="veces_0_7"/>
    <tableColumn id="5" xr3:uid="{00000000-0010-0000-0D00-000005000000}" name="not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analiticas_panel" displayName="t_analiticas_panel" ref="A1:D201">
  <autoFilter ref="A1:D201" xr:uid="{00000000-0009-0000-0100-00000F000000}"/>
  <tableColumns count="4">
    <tableColumn id="1" xr3:uid="{00000000-0010-0000-0E00-000001000000}" name="panel_id"/>
    <tableColumn id="2" xr3:uid="{00000000-0010-0000-0E00-000002000000}" name="fecha"/>
    <tableColumn id="3" xr3:uid="{00000000-0010-0000-0E00-000003000000}" name="laboratorio"/>
    <tableColumn id="4" xr3:uid="{00000000-0010-0000-0E00-000004000000}" name="not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cat_biomarcador" displayName="t_cat_biomarcador" ref="A1:F301">
  <autoFilter ref="A1:F301" xr:uid="{00000000-0009-0000-0100-000010000000}"/>
  <tableColumns count="6">
    <tableColumn id="1" xr3:uid="{00000000-0010-0000-0F00-000001000000}" name="biomarcador_id"/>
    <tableColumn id="2" xr3:uid="{00000000-0010-0000-0F00-000002000000}" name="grupo"/>
    <tableColumn id="3" xr3:uid="{00000000-0010-0000-0F00-000003000000}" name="nombre"/>
    <tableColumn id="4" xr3:uid="{00000000-0010-0000-0F00-000004000000}" name="unidad"/>
    <tableColumn id="5" xr3:uid="{00000000-0010-0000-0F00-000005000000}" name="activo_sn"/>
    <tableColumn id="6" xr3:uid="{00000000-0010-0000-0F00-000006000000}" name="not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analiticas_resultados" displayName="t_analiticas_resultados" ref="A1:G3001">
  <autoFilter ref="A1:G3001" xr:uid="{00000000-0009-0000-0100-000011000000}"/>
  <tableColumns count="7">
    <tableColumn id="1" xr3:uid="{00000000-0010-0000-1000-000001000000}" name="resultado_id"/>
    <tableColumn id="2" xr3:uid="{00000000-0010-0000-1000-000002000000}" name="panel_id"/>
    <tableColumn id="3" xr3:uid="{00000000-0010-0000-1000-000003000000}" name="biomarcador_id"/>
    <tableColumn id="4" xr3:uid="{00000000-0010-0000-1000-000004000000}" name="valor_num"/>
    <tableColumn id="5" xr3:uid="{00000000-0010-0000-1000-000005000000}" name="valor_text"/>
    <tableColumn id="6" xr3:uid="{00000000-0010-0000-1000-000006000000}" name="unidad"/>
    <tableColumn id="7" xr3:uid="{00000000-0010-0000-1000-000007000000}" name="not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cat_medicacion" displayName="t_cat_medicacion" ref="A1:E51">
  <autoFilter ref="A1:E51" xr:uid="{00000000-0009-0000-0100-000012000000}"/>
  <tableColumns count="5">
    <tableColumn id="1" xr3:uid="{00000000-0010-0000-1100-000001000000}" name="medicacion_id"/>
    <tableColumn id="2" xr3:uid="{00000000-0010-0000-1100-000002000000}" name="nombre"/>
    <tableColumn id="3" xr3:uid="{00000000-0010-0000-1100-000003000000}" name="presentacion"/>
    <tableColumn id="4" xr3:uid="{00000000-0010-0000-1100-000004000000}" name="activo_sn"/>
    <tableColumn id="5" xr3:uid="{00000000-0010-0000-1100-000005000000}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pane ySplit="2" topLeftCell="A3" activePane="bottomLeft" state="frozen"/>
      <selection pane="bottomLeft"/>
    </sheetView>
  </sheetViews>
  <sheetFormatPr baseColWidth="10" defaultColWidth="9.06640625" defaultRowHeight="14.25" x14ac:dyDescent="0.45"/>
  <cols>
    <col min="1" max="1" width="30" customWidth="1"/>
    <col min="2" max="2" width="24" customWidth="1"/>
    <col min="4" max="4" width="70" customWidth="1"/>
  </cols>
  <sheetData>
    <row r="1" spans="1:4" ht="18" x14ac:dyDescent="0.55000000000000004">
      <c r="A1" s="1" t="s">
        <v>0</v>
      </c>
    </row>
    <row r="3" spans="1:4" x14ac:dyDescent="0.45">
      <c r="A3" s="2" t="s">
        <v>1</v>
      </c>
      <c r="B3" s="3">
        <v>46026</v>
      </c>
      <c r="D3" t="s">
        <v>2</v>
      </c>
    </row>
    <row r="4" spans="1:4" x14ac:dyDescent="0.45">
      <c r="A4" s="2" t="s">
        <v>3</v>
      </c>
      <c r="B4" t="e">
        <f>AVERAGEIFS(t_ta[sistolica],t_ta[momento],"AM",t_ta[fecha],"&gt;="&amp;$B$3-6,t_ta[fecha],"&lt;="&amp;$B$3)</f>
        <v>#DIV/0!</v>
      </c>
      <c r="D4" t="s">
        <v>4</v>
      </c>
    </row>
    <row r="5" spans="1:4" x14ac:dyDescent="0.45">
      <c r="A5" s="2" t="s">
        <v>5</v>
      </c>
      <c r="B5" t="e">
        <f>AVERAGEIFS(t_ta[diastolica],t_ta[momento],"AM",t_ta[fecha],"&gt;="&amp;$B$3-6,t_ta[fecha],"&lt;="&amp;$B$3)</f>
        <v>#DIV/0!</v>
      </c>
      <c r="D5" t="s">
        <v>6</v>
      </c>
    </row>
    <row r="6" spans="1:4" x14ac:dyDescent="0.45">
      <c r="A6" s="2" t="s">
        <v>7</v>
      </c>
      <c r="B6" t="e">
        <f>AVERAGEIFS(t_ta[sistolica],t_ta[momento],"PM",t_ta[fecha],"&gt;="&amp;$B$3-6,t_ta[fecha],"&lt;="&amp;$B$3)</f>
        <v>#DIV/0!</v>
      </c>
      <c r="D6" t="s">
        <v>8</v>
      </c>
    </row>
    <row r="7" spans="1:4" x14ac:dyDescent="0.45">
      <c r="A7" s="2" t="s">
        <v>9</v>
      </c>
      <c r="B7" t="e">
        <f>AVERAGEIFS(t_ta[diastolica],t_ta[momento],"PM",t_ta[fecha],"&gt;="&amp;$B$3-6,t_ta[fecha],"&lt;="&amp;$B$3)</f>
        <v>#DIV/0!</v>
      </c>
    </row>
    <row r="8" spans="1:4" x14ac:dyDescent="0.45">
      <c r="A8" s="2" t="s">
        <v>10</v>
      </c>
      <c r="B8" t="e">
        <f>AVERAGEIFS(t_ta[sistolica],t_ta[fecha],"&gt;="&amp;$B$3-6,t_ta[fecha],"&lt;="&amp;$B$3)</f>
        <v>#DIV/0!</v>
      </c>
    </row>
    <row r="9" spans="1:4" x14ac:dyDescent="0.45">
      <c r="A9" s="2" t="s">
        <v>11</v>
      </c>
      <c r="B9" t="e">
        <f>AVERAGEIFS(t_ta[diastolica],t_ta[fecha],"&gt;="&amp;$B$3-6,t_ta[fecha],"&lt;="&amp;$B$3)</f>
        <v>#DIV/0!</v>
      </c>
    </row>
    <row r="10" spans="1:4" x14ac:dyDescent="0.45">
      <c r="A10" s="2"/>
    </row>
    <row r="11" spans="1:4" x14ac:dyDescent="0.45">
      <c r="A11" s="2" t="s">
        <v>12</v>
      </c>
    </row>
    <row r="12" spans="1:4" x14ac:dyDescent="0.45">
      <c r="A12" s="2" t="s">
        <v>13</v>
      </c>
      <c r="B12" t="e">
        <f ca="1">IF($B$11&gt;=_xludf.XLOOKUP("sleep_streak_red",t_sys_parametros[parametro],t_sys_parametros[valor]),"ROJO",IF($B$11&gt;=_xludf.XLOOKUP("sleep_streak_orange",t_sys_parametros[parametro],t_sys_parametros[valor]),"NARANJA","VERDE"))</f>
        <v>#NAME?</v>
      </c>
    </row>
    <row r="13" spans="1:4" x14ac:dyDescent="0.45">
      <c r="A13" s="2"/>
    </row>
    <row r="14" spans="1:4" x14ac:dyDescent="0.45">
      <c r="A14" s="2" t="s">
        <v>14</v>
      </c>
      <c r="B14" t="e">
        <f ca="1">_xludf.XLOOKUP(MAX(t_peso[fecha]),t_peso[fecha],t_peso[peso_kg],"",0)</f>
        <v>#NAME?</v>
      </c>
    </row>
    <row r="15" spans="1:4" x14ac:dyDescent="0.45">
      <c r="A15" s="2" t="s">
        <v>15</v>
      </c>
      <c r="B15" t="e">
        <f ca="1">AVERAGEIFS(t_peso[peso_kg],t_peso[fecha],"&gt;="&amp;$B$3-_xludf.XLOOKUP("weight_trend_days",t_sys_parametros[parametro],t_sys_parametros[valor])+1,t_peso[fecha],"&lt;="&amp;$B$3)</f>
        <v>#DIV/0!</v>
      </c>
    </row>
    <row r="16" spans="1:4" x14ac:dyDescent="0.45">
      <c r="A16" s="2" t="s">
        <v>16</v>
      </c>
      <c r="B16" t="e">
        <f ca="1">($B$14-$B$15)</f>
        <v>#NAME?</v>
      </c>
    </row>
    <row r="17" spans="1:2" x14ac:dyDescent="0.45">
      <c r="A17" s="2"/>
    </row>
    <row r="18" spans="1:2" x14ac:dyDescent="0.45">
      <c r="A18" s="2" t="s">
        <v>17</v>
      </c>
    </row>
    <row r="19" spans="1:2" x14ac:dyDescent="0.45">
      <c r="A19" s="2" t="s">
        <v>18</v>
      </c>
    </row>
    <row r="20" spans="1:2" x14ac:dyDescent="0.45">
      <c r="A20" s="2"/>
    </row>
    <row r="21" spans="1:2" x14ac:dyDescent="0.45">
      <c r="A21" s="2" t="s">
        <v>19</v>
      </c>
      <c r="B21">
        <f>IFERROR(MAX(t_arritmias_eventos[inicio_ts]),"")</f>
        <v>0</v>
      </c>
    </row>
    <row r="22" spans="1:2" x14ac:dyDescent="0.45">
      <c r="A22" s="2" t="s">
        <v>20</v>
      </c>
      <c r="B22">
        <f>COUNTIFS(t_arritmias_eventos[inicio_ts],"&gt;="&amp;EDATE($B$3,-12),t_arritmias_eventos[inicio_ts],"&lt;="&amp;$B$3)</f>
        <v>0</v>
      </c>
    </row>
  </sheetData>
  <conditionalFormatting sqref="B12">
    <cfRule type="expression" dxfId="2" priority="1">
      <formula>$B$12="VERDE"</formula>
    </cfRule>
    <cfRule type="expression" dxfId="1" priority="2">
      <formula>$B$12="NARANJA"</formula>
    </cfRule>
    <cfRule type="expression" dxfId="0" priority="3">
      <formula>$B$12="ROJO"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0" width="20" customWidth="1"/>
  </cols>
  <sheetData>
    <row r="1" spans="1:10" x14ac:dyDescent="0.4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x14ac:dyDescent="0.4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</row>
    <row r="3" spans="1:10" x14ac:dyDescent="0.4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</row>
    <row r="4" spans="1:10" x14ac:dyDescent="0.45"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</row>
    <row r="5" spans="1:10" x14ac:dyDescent="0.45">
      <c r="H5" t="s">
        <v>58</v>
      </c>
    </row>
    <row r="6" spans="1:10" x14ac:dyDescent="0.45">
      <c r="H6" t="s">
        <v>59</v>
      </c>
    </row>
    <row r="7" spans="1:10" x14ac:dyDescent="0.45">
      <c r="H7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38.265625" customWidth="1"/>
    <col min="2" max="2" width="25.33203125" customWidth="1"/>
    <col min="3" max="6" width="12" customWidth="1"/>
  </cols>
  <sheetData>
    <row r="1" spans="1:6" x14ac:dyDescent="0.45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</row>
    <row r="2" spans="1:6" x14ac:dyDescent="0.45">
      <c r="A2" t="s">
        <v>66</v>
      </c>
      <c r="B2" t="s">
        <v>67</v>
      </c>
      <c r="C2" t="s">
        <v>68</v>
      </c>
      <c r="D2">
        <v>0</v>
      </c>
      <c r="E2">
        <v>10</v>
      </c>
      <c r="F2" t="s">
        <v>31</v>
      </c>
    </row>
    <row r="3" spans="1:6" x14ac:dyDescent="0.45">
      <c r="A3" t="s">
        <v>69</v>
      </c>
      <c r="B3" t="s">
        <v>70</v>
      </c>
      <c r="C3" t="s">
        <v>71</v>
      </c>
      <c r="F3" t="s">
        <v>31</v>
      </c>
    </row>
    <row r="4" spans="1:6" x14ac:dyDescent="0.45">
      <c r="A4" t="s">
        <v>72</v>
      </c>
      <c r="B4" t="s">
        <v>73</v>
      </c>
      <c r="C4" t="s">
        <v>68</v>
      </c>
      <c r="D4">
        <v>0</v>
      </c>
      <c r="E4">
        <v>3</v>
      </c>
      <c r="F4" t="s">
        <v>31</v>
      </c>
    </row>
    <row r="5" spans="1:6" x14ac:dyDescent="0.45">
      <c r="A5" t="s">
        <v>74</v>
      </c>
      <c r="B5" t="s">
        <v>75</v>
      </c>
      <c r="C5" t="s">
        <v>71</v>
      </c>
      <c r="F5" t="s">
        <v>31</v>
      </c>
    </row>
    <row r="6" spans="1:6" x14ac:dyDescent="0.45">
      <c r="A6" t="s">
        <v>76</v>
      </c>
      <c r="B6" t="s">
        <v>77</v>
      </c>
      <c r="C6" t="s">
        <v>71</v>
      </c>
      <c r="F6" t="s">
        <v>31</v>
      </c>
    </row>
    <row r="7" spans="1:6" x14ac:dyDescent="0.45">
      <c r="A7" t="s">
        <v>78</v>
      </c>
      <c r="B7" t="s">
        <v>79</v>
      </c>
      <c r="C7" t="s">
        <v>71</v>
      </c>
      <c r="F7" t="s">
        <v>31</v>
      </c>
    </row>
    <row r="8" spans="1:6" x14ac:dyDescent="0.45">
      <c r="A8" t="s">
        <v>80</v>
      </c>
      <c r="B8" t="s">
        <v>81</v>
      </c>
      <c r="C8" t="s">
        <v>71</v>
      </c>
      <c r="F8" t="s">
        <v>31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3.46484375" customWidth="1"/>
    <col min="2" max="2" width="12" customWidth="1"/>
    <col min="3" max="3" width="18.59765625" customWidth="1"/>
  </cols>
  <sheetData>
    <row r="1" spans="1:3" x14ac:dyDescent="0.45">
      <c r="A1" s="4" t="s">
        <v>82</v>
      </c>
      <c r="B1" s="4" t="s">
        <v>83</v>
      </c>
      <c r="C1" s="4" t="s">
        <v>84</v>
      </c>
    </row>
    <row r="2" spans="1:3" x14ac:dyDescent="0.45">
      <c r="A2" t="s">
        <v>85</v>
      </c>
      <c r="B2">
        <v>5</v>
      </c>
      <c r="C2" t="s">
        <v>86</v>
      </c>
    </row>
    <row r="3" spans="1:3" x14ac:dyDescent="0.45">
      <c r="A3" t="s">
        <v>87</v>
      </c>
      <c r="B3">
        <v>2</v>
      </c>
      <c r="C3" t="s">
        <v>88</v>
      </c>
    </row>
    <row r="4" spans="1:3" x14ac:dyDescent="0.45">
      <c r="A4" t="s">
        <v>89</v>
      </c>
      <c r="B4">
        <v>2</v>
      </c>
      <c r="C4" t="s">
        <v>90</v>
      </c>
    </row>
    <row r="5" spans="1:3" x14ac:dyDescent="0.45">
      <c r="A5" t="s">
        <v>91</v>
      </c>
      <c r="B5">
        <v>3</v>
      </c>
      <c r="C5" t="s">
        <v>92</v>
      </c>
    </row>
    <row r="6" spans="1:3" x14ac:dyDescent="0.45">
      <c r="A6" t="s">
        <v>93</v>
      </c>
      <c r="B6">
        <v>30</v>
      </c>
      <c r="C6" t="s">
        <v>94</v>
      </c>
    </row>
    <row r="7" spans="1:3" x14ac:dyDescent="0.45">
      <c r="A7" t="s">
        <v>95</v>
      </c>
      <c r="B7">
        <v>7</v>
      </c>
      <c r="C7" t="s">
        <v>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3" customWidth="1"/>
    <col min="2" max="2" width="17" customWidth="1"/>
    <col min="3" max="3" width="12" customWidth="1"/>
    <col min="4" max="4" width="13" customWidth="1"/>
    <col min="5" max="5" width="12" customWidth="1"/>
    <col min="6" max="6" width="21" customWidth="1"/>
    <col min="7" max="7" width="14" customWidth="1"/>
    <col min="8" max="10" width="12" customWidth="1"/>
  </cols>
  <sheetData>
    <row r="1" spans="1:10" x14ac:dyDescent="0.45">
      <c r="A1" s="4" t="s">
        <v>97</v>
      </c>
      <c r="B1" s="4" t="s">
        <v>98</v>
      </c>
      <c r="C1" s="4" t="s">
        <v>61</v>
      </c>
      <c r="D1" s="4" t="s">
        <v>84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</row>
    <row r="2" spans="1:10" x14ac:dyDescent="0.45">
      <c r="A2">
        <v>1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I2" t="s">
        <v>31</v>
      </c>
    </row>
    <row r="3" spans="1:10" x14ac:dyDescent="0.45">
      <c r="A3">
        <v>2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110</v>
      </c>
      <c r="I3" t="s">
        <v>31</v>
      </c>
    </row>
    <row r="4" spans="1:10" x14ac:dyDescent="0.45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110</v>
      </c>
      <c r="I4" t="s">
        <v>31</v>
      </c>
    </row>
    <row r="5" spans="1:10" x14ac:dyDescent="0.45">
      <c r="A5">
        <v>4</v>
      </c>
      <c r="B5" t="s">
        <v>121</v>
      </c>
      <c r="C5" t="s">
        <v>56</v>
      </c>
      <c r="D5" t="s">
        <v>122</v>
      </c>
      <c r="E5" t="s">
        <v>123</v>
      </c>
      <c r="F5" t="s">
        <v>124</v>
      </c>
      <c r="G5" t="s">
        <v>110</v>
      </c>
      <c r="I5" t="s">
        <v>31</v>
      </c>
    </row>
    <row r="6" spans="1:10" x14ac:dyDescent="0.45">
      <c r="A6">
        <v>5</v>
      </c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s">
        <v>110</v>
      </c>
      <c r="I6" t="s">
        <v>31</v>
      </c>
    </row>
    <row r="7" spans="1:10" x14ac:dyDescent="0.45">
      <c r="A7">
        <v>6</v>
      </c>
      <c r="B7" t="s">
        <v>130</v>
      </c>
      <c r="C7" t="s">
        <v>131</v>
      </c>
      <c r="D7" t="s">
        <v>132</v>
      </c>
      <c r="E7" t="s">
        <v>133</v>
      </c>
      <c r="F7" t="s">
        <v>124</v>
      </c>
      <c r="G7" t="s">
        <v>110</v>
      </c>
      <c r="I7" t="s">
        <v>31</v>
      </c>
    </row>
  </sheetData>
  <dataValidations count="1">
    <dataValidation type="list" allowBlank="1" sqref="I2:I200" xr:uid="{00000000-0002-0000-0400-000000000000}">
      <formula1>lst_sn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13" customWidth="1"/>
    <col min="3" max="3" width="15" customWidth="1"/>
    <col min="4" max="4" width="12" customWidth="1"/>
    <col min="5" max="5" width="13" customWidth="1"/>
    <col min="6" max="8" width="12" customWidth="1"/>
    <col min="9" max="9" width="14" customWidth="1"/>
    <col min="10" max="12" width="12" customWidth="1"/>
  </cols>
  <sheetData>
    <row r="1" spans="1:12" x14ac:dyDescent="0.45">
      <c r="A1" s="4" t="s">
        <v>134</v>
      </c>
      <c r="B1" s="4" t="s">
        <v>97</v>
      </c>
      <c r="C1" s="4" t="s">
        <v>135</v>
      </c>
      <c r="D1" s="4" t="s">
        <v>61</v>
      </c>
      <c r="E1" s="4" t="s">
        <v>84</v>
      </c>
      <c r="F1" s="4" t="s">
        <v>136</v>
      </c>
      <c r="G1" s="4" t="s">
        <v>137</v>
      </c>
      <c r="H1" s="4" t="s">
        <v>138</v>
      </c>
      <c r="I1" s="4" t="s">
        <v>101</v>
      </c>
      <c r="J1" s="4" t="s">
        <v>102</v>
      </c>
      <c r="K1" s="4" t="s">
        <v>139</v>
      </c>
      <c r="L1" s="4" t="s">
        <v>104</v>
      </c>
    </row>
    <row r="2" spans="1:12" x14ac:dyDescent="0.45">
      <c r="A2">
        <v>1</v>
      </c>
      <c r="B2">
        <v>1</v>
      </c>
      <c r="C2" t="s">
        <v>140</v>
      </c>
      <c r="D2" t="s">
        <v>141</v>
      </c>
      <c r="E2" t="s">
        <v>142</v>
      </c>
      <c r="F2" t="s">
        <v>143</v>
      </c>
      <c r="G2" t="s">
        <v>109</v>
      </c>
      <c r="H2">
        <v>1</v>
      </c>
      <c r="I2" t="s">
        <v>110</v>
      </c>
      <c r="K2" t="s">
        <v>31</v>
      </c>
    </row>
    <row r="3" spans="1:12" x14ac:dyDescent="0.45">
      <c r="A3">
        <v>2</v>
      </c>
      <c r="B3">
        <v>3</v>
      </c>
      <c r="C3" t="s">
        <v>144</v>
      </c>
      <c r="D3" t="s">
        <v>145</v>
      </c>
      <c r="E3" t="s">
        <v>146</v>
      </c>
      <c r="F3" t="s">
        <v>147</v>
      </c>
      <c r="G3" t="s">
        <v>120</v>
      </c>
      <c r="H3">
        <v>2</v>
      </c>
      <c r="I3" t="s">
        <v>110</v>
      </c>
      <c r="K3" t="s">
        <v>31</v>
      </c>
    </row>
    <row r="4" spans="1:12" x14ac:dyDescent="0.45">
      <c r="A4">
        <v>3</v>
      </c>
      <c r="B4">
        <v>4</v>
      </c>
      <c r="C4" t="s">
        <v>148</v>
      </c>
      <c r="D4" t="s">
        <v>149</v>
      </c>
      <c r="E4" t="s">
        <v>150</v>
      </c>
      <c r="F4" t="s">
        <v>143</v>
      </c>
      <c r="G4" t="s">
        <v>124</v>
      </c>
      <c r="H4">
        <v>1</v>
      </c>
      <c r="I4" t="s">
        <v>110</v>
      </c>
      <c r="K4" t="s">
        <v>31</v>
      </c>
    </row>
    <row r="5" spans="1:12" x14ac:dyDescent="0.45">
      <c r="A5">
        <v>4</v>
      </c>
      <c r="B5">
        <v>5</v>
      </c>
      <c r="C5" t="s">
        <v>151</v>
      </c>
      <c r="D5" t="s">
        <v>152</v>
      </c>
      <c r="E5" t="s">
        <v>153</v>
      </c>
      <c r="F5" t="s">
        <v>143</v>
      </c>
      <c r="G5" t="s">
        <v>129</v>
      </c>
      <c r="H5">
        <v>2</v>
      </c>
      <c r="I5" t="s">
        <v>110</v>
      </c>
      <c r="K5" t="s">
        <v>31</v>
      </c>
    </row>
    <row r="6" spans="1:12" x14ac:dyDescent="0.45">
      <c r="A6">
        <v>5</v>
      </c>
      <c r="B6">
        <v>6</v>
      </c>
      <c r="C6" t="s">
        <v>154</v>
      </c>
      <c r="D6" t="s">
        <v>155</v>
      </c>
      <c r="E6" t="s">
        <v>156</v>
      </c>
      <c r="F6" t="s">
        <v>143</v>
      </c>
      <c r="G6" t="s">
        <v>124</v>
      </c>
      <c r="H6">
        <v>2</v>
      </c>
      <c r="I6" t="s">
        <v>110</v>
      </c>
      <c r="K6" t="s">
        <v>31</v>
      </c>
    </row>
    <row r="7" spans="1:12" x14ac:dyDescent="0.45">
      <c r="A7">
        <v>6</v>
      </c>
      <c r="B7">
        <v>2</v>
      </c>
      <c r="C7" t="s">
        <v>157</v>
      </c>
      <c r="D7" t="s">
        <v>158</v>
      </c>
      <c r="E7" t="s">
        <v>159</v>
      </c>
      <c r="F7" t="s">
        <v>143</v>
      </c>
      <c r="G7" t="s">
        <v>115</v>
      </c>
      <c r="H7">
        <v>1</v>
      </c>
      <c r="I7" t="s">
        <v>110</v>
      </c>
      <c r="K7" t="s">
        <v>31</v>
      </c>
    </row>
    <row r="8" spans="1:12" x14ac:dyDescent="0.45">
      <c r="A8">
        <v>7</v>
      </c>
      <c r="B8">
        <v>0</v>
      </c>
      <c r="C8" t="s">
        <v>160</v>
      </c>
      <c r="D8" t="s">
        <v>161</v>
      </c>
      <c r="E8" t="s">
        <v>162</v>
      </c>
      <c r="F8" t="s">
        <v>163</v>
      </c>
      <c r="G8" t="s">
        <v>120</v>
      </c>
      <c r="H8">
        <v>1</v>
      </c>
      <c r="I8" t="s">
        <v>110</v>
      </c>
      <c r="K8" t="s">
        <v>31</v>
      </c>
    </row>
  </sheetData>
  <dataValidations count="1">
    <dataValidation type="list" allowBlank="1" sqref="K2:K300" xr:uid="{00000000-0002-0000-0500-000000000000}">
      <formula1>lst_sn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5" width="12" customWidth="1"/>
    <col min="6" max="6" width="14" customWidth="1"/>
    <col min="7" max="8" width="12" customWidth="1"/>
  </cols>
  <sheetData>
    <row r="1" spans="1:8" x14ac:dyDescent="0.45">
      <c r="A1" s="4" t="s">
        <v>164</v>
      </c>
      <c r="B1" s="4" t="s">
        <v>134</v>
      </c>
      <c r="C1" s="4" t="s">
        <v>165</v>
      </c>
      <c r="D1" s="4" t="s">
        <v>166</v>
      </c>
      <c r="E1" s="4" t="s">
        <v>167</v>
      </c>
      <c r="F1" s="4" t="s">
        <v>168</v>
      </c>
      <c r="G1" s="4" t="s">
        <v>25</v>
      </c>
      <c r="H1" s="4" t="s">
        <v>104</v>
      </c>
    </row>
  </sheetData>
  <dataValidations count="2">
    <dataValidation type="list" allowBlank="1" sqref="E2:E2000" xr:uid="{00000000-0002-0000-0600-000000000000}">
      <formula1>lst_estado_ejecucion</formula1>
    </dataValidation>
    <dataValidation type="list" allowBlank="1" sqref="G2:G2000" xr:uid="{00000000-0002-0000-0600-000001000000}">
      <formula1>lst_fuente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1" width="12" customWidth="1"/>
  </cols>
  <sheetData>
    <row r="1" spans="1:11" x14ac:dyDescent="0.45">
      <c r="A1" s="4" t="s">
        <v>169</v>
      </c>
      <c r="B1" s="4" t="s">
        <v>165</v>
      </c>
      <c r="C1" s="4" t="s">
        <v>166</v>
      </c>
      <c r="D1" s="4" t="s">
        <v>22</v>
      </c>
      <c r="E1" s="4" t="s">
        <v>170</v>
      </c>
      <c r="F1" s="4" t="s">
        <v>171</v>
      </c>
      <c r="G1" s="4" t="s">
        <v>172</v>
      </c>
      <c r="H1" s="4" t="s">
        <v>173</v>
      </c>
      <c r="I1" s="4" t="s">
        <v>25</v>
      </c>
      <c r="J1" s="4" t="s">
        <v>174</v>
      </c>
      <c r="K1" s="4" t="s">
        <v>104</v>
      </c>
    </row>
  </sheetData>
  <dataValidations count="7">
    <dataValidation type="list" allowBlank="1" sqref="D2:D5000" xr:uid="{00000000-0002-0000-0700-000000000000}">
      <formula1>lst_momento</formula1>
    </dataValidation>
    <dataValidation type="list" allowBlank="1" sqref="I2:I5000" xr:uid="{00000000-0002-0000-0700-000001000000}">
      <formula1>lst_fuente</formula1>
    </dataValidation>
    <dataValidation type="list" allowBlank="1" sqref="J2:J5000" xr:uid="{00000000-0002-0000-0700-000002000000}">
      <formula1>lst_sn</formula1>
    </dataValidation>
    <dataValidation type="whole" allowBlank="1" sqref="E2:E5000" xr:uid="{00000000-0002-0000-0700-000003000000}">
      <formula1>1</formula1>
      <formula2>2</formula2>
    </dataValidation>
    <dataValidation type="whole" allowBlank="1" sqref="F2:F5000" xr:uid="{00000000-0002-0000-0700-000004000000}">
      <formula1>50</formula1>
      <formula2>250</formula2>
    </dataValidation>
    <dataValidation type="whole" allowBlank="1" sqref="G2:G5000" xr:uid="{00000000-0002-0000-0700-000005000000}">
      <formula1>30</formula1>
      <formula2>150</formula2>
    </dataValidation>
    <dataValidation type="whole" allowBlank="1" sqref="H2:H5000" xr:uid="{00000000-0002-0000-0700-000006000000}">
      <formula1>30</formula1>
      <formula2>220</formula2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6" width="12" customWidth="1"/>
  </cols>
  <sheetData>
    <row r="1" spans="1:6" x14ac:dyDescent="0.45">
      <c r="A1" s="4" t="s">
        <v>175</v>
      </c>
      <c r="B1" s="4" t="s">
        <v>165</v>
      </c>
      <c r="C1" s="4" t="s">
        <v>166</v>
      </c>
      <c r="D1" s="4" t="s">
        <v>176</v>
      </c>
      <c r="E1" s="4" t="s">
        <v>25</v>
      </c>
      <c r="F1" s="4" t="s">
        <v>104</v>
      </c>
    </row>
  </sheetData>
  <dataValidations count="2">
    <dataValidation type="list" allowBlank="1" sqref="E2:E2000" xr:uid="{00000000-0002-0000-0800-000000000000}">
      <formula1>lst_fuente</formula1>
    </dataValidation>
    <dataValidation type="decimal" allowBlank="1" sqref="D2:D2000" xr:uid="{00000000-0002-0000-0800-000001000000}">
      <formula1>30</formula1>
      <formula2>250</formula2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0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3" width="12" customWidth="1"/>
    <col min="4" max="4" width="13" customWidth="1"/>
    <col min="5" max="5" width="14" customWidth="1"/>
    <col min="6" max="7" width="12" customWidth="1"/>
  </cols>
  <sheetData>
    <row r="1" spans="1:7" x14ac:dyDescent="0.45">
      <c r="A1" s="4" t="s">
        <v>177</v>
      </c>
      <c r="B1" s="4" t="s">
        <v>165</v>
      </c>
      <c r="C1" s="4" t="s">
        <v>178</v>
      </c>
      <c r="D1" s="4" t="s">
        <v>179</v>
      </c>
      <c r="E1" s="4" t="s">
        <v>180</v>
      </c>
      <c r="F1" s="4" t="s">
        <v>25</v>
      </c>
      <c r="G1" s="4" t="s">
        <v>104</v>
      </c>
    </row>
    <row r="2" spans="1:7" x14ac:dyDescent="0.45">
      <c r="E2" t="str">
        <f>IF(OR($C2="", $D2=""),"", IF(OR($C2&lt;_xludf.XLOOKUP("sleep_bad_min_hours",t_sys_parametros[parametro],t_sys_parametros[valor]), $D2&lt;=_xludf.XLOOKUP("sleep_bad_max_quality",t_sys_parametros[parametro],t_sys_parametros[valor])),"S","N"))</f>
        <v/>
      </c>
    </row>
    <row r="3" spans="1:7" x14ac:dyDescent="0.45">
      <c r="E3" t="str">
        <f>IF(OR($C3="", $D3=""),"", IF(OR($C3&lt;_xludf.XLOOKUP("sleep_bad_min_hours",t_sys_parametros[parametro],t_sys_parametros[valor]), $D3&lt;=_xludf.XLOOKUP("sleep_bad_max_quality",t_sys_parametros[parametro],t_sys_parametros[valor])),"S","N"))</f>
        <v/>
      </c>
    </row>
    <row r="4" spans="1:7" x14ac:dyDescent="0.45">
      <c r="E4" t="str">
        <f>IF(OR($C4="", $D4=""),"", IF(OR($C4&lt;_xludf.XLOOKUP("sleep_bad_min_hours",t_sys_parametros[parametro],t_sys_parametros[valor]), $D4&lt;=_xludf.XLOOKUP("sleep_bad_max_quality",t_sys_parametros[parametro],t_sys_parametros[valor])),"S","N"))</f>
        <v/>
      </c>
    </row>
    <row r="5" spans="1:7" x14ac:dyDescent="0.45">
      <c r="E5" t="str">
        <f>IF(OR($C5="", $D5=""),"", IF(OR($C5&lt;_xludf.XLOOKUP("sleep_bad_min_hours",t_sys_parametros[parametro],t_sys_parametros[valor]), $D5&lt;=_xludf.XLOOKUP("sleep_bad_max_quality",t_sys_parametros[parametro],t_sys_parametros[valor])),"S","N"))</f>
        <v/>
      </c>
    </row>
    <row r="6" spans="1:7" x14ac:dyDescent="0.45">
      <c r="E6" t="str">
        <f>IF(OR($C6="", $D6=""),"", IF(OR($C6&lt;_xludf.XLOOKUP("sleep_bad_min_hours",t_sys_parametros[parametro],t_sys_parametros[valor]), $D6&lt;=_xludf.XLOOKUP("sleep_bad_max_quality",t_sys_parametros[parametro],t_sys_parametros[valor])),"S","N"))</f>
        <v/>
      </c>
    </row>
    <row r="7" spans="1:7" x14ac:dyDescent="0.45">
      <c r="E7" t="str">
        <f>IF(OR($C7="", $D7=""),"", IF(OR($C7&lt;_xludf.XLOOKUP("sleep_bad_min_hours",t_sys_parametros[parametro],t_sys_parametros[valor]), $D7&lt;=_xludf.XLOOKUP("sleep_bad_max_quality",t_sys_parametros[parametro],t_sys_parametros[valor])),"S","N"))</f>
        <v/>
      </c>
    </row>
    <row r="8" spans="1:7" x14ac:dyDescent="0.45">
      <c r="E8" t="str">
        <f>IF(OR($C8="", $D8=""),"", IF(OR($C8&lt;_xludf.XLOOKUP("sleep_bad_min_hours",t_sys_parametros[parametro],t_sys_parametros[valor]), $D8&lt;=_xludf.XLOOKUP("sleep_bad_max_quality",t_sys_parametros[parametro],t_sys_parametros[valor])),"S","N"))</f>
        <v/>
      </c>
    </row>
    <row r="9" spans="1:7" x14ac:dyDescent="0.45">
      <c r="E9" t="str">
        <f>IF(OR($C9="", $D9=""),"", IF(OR($C9&lt;_xludf.XLOOKUP("sleep_bad_min_hours",t_sys_parametros[parametro],t_sys_parametros[valor]), $D9&lt;=_xludf.XLOOKUP("sleep_bad_max_quality",t_sys_parametros[parametro],t_sys_parametros[valor])),"S","N"))</f>
        <v/>
      </c>
    </row>
    <row r="10" spans="1:7" x14ac:dyDescent="0.45">
      <c r="E10" t="str">
        <f>IF(OR($C10="", $D10=""),"", IF(OR($C10&lt;_xludf.XLOOKUP("sleep_bad_min_hours",t_sys_parametros[parametro],t_sys_parametros[valor]), $D10&lt;=_xludf.XLOOKUP("sleep_bad_max_quality",t_sys_parametros[parametro],t_sys_parametros[valor])),"S","N"))</f>
        <v/>
      </c>
    </row>
    <row r="11" spans="1:7" x14ac:dyDescent="0.45">
      <c r="E11" t="str">
        <f>IF(OR($C11="", $D11=""),"", IF(OR($C11&lt;_xludf.XLOOKUP("sleep_bad_min_hours",t_sys_parametros[parametro],t_sys_parametros[valor]), $D11&lt;=_xludf.XLOOKUP("sleep_bad_max_quality",t_sys_parametros[parametro],t_sys_parametros[valor])),"S","N"))</f>
        <v/>
      </c>
    </row>
    <row r="12" spans="1:7" x14ac:dyDescent="0.45">
      <c r="E12" t="str">
        <f>IF(OR($C12="", $D12=""),"", IF(OR($C12&lt;_xludf.XLOOKUP("sleep_bad_min_hours",t_sys_parametros[parametro],t_sys_parametros[valor]), $D12&lt;=_xludf.XLOOKUP("sleep_bad_max_quality",t_sys_parametros[parametro],t_sys_parametros[valor])),"S","N"))</f>
        <v/>
      </c>
    </row>
    <row r="13" spans="1:7" x14ac:dyDescent="0.45">
      <c r="E13" t="str">
        <f>IF(OR($C13="", $D13=""),"", IF(OR($C13&lt;_xludf.XLOOKUP("sleep_bad_min_hours",t_sys_parametros[parametro],t_sys_parametros[valor]), $D13&lt;=_xludf.XLOOKUP("sleep_bad_max_quality",t_sys_parametros[parametro],t_sys_parametros[valor])),"S","N"))</f>
        <v/>
      </c>
    </row>
    <row r="14" spans="1:7" x14ac:dyDescent="0.45">
      <c r="E14" t="str">
        <f>IF(OR($C14="", $D14=""),"", IF(OR($C14&lt;_xludf.XLOOKUP("sleep_bad_min_hours",t_sys_parametros[parametro],t_sys_parametros[valor]), $D14&lt;=_xludf.XLOOKUP("sleep_bad_max_quality",t_sys_parametros[parametro],t_sys_parametros[valor])),"S","N"))</f>
        <v/>
      </c>
    </row>
    <row r="15" spans="1:7" x14ac:dyDescent="0.45">
      <c r="E15" t="str">
        <f>IF(OR($C15="", $D15=""),"", IF(OR($C15&lt;_xludf.XLOOKUP("sleep_bad_min_hours",t_sys_parametros[parametro],t_sys_parametros[valor]), $D15&lt;=_xludf.XLOOKUP("sleep_bad_max_quality",t_sys_parametros[parametro],t_sys_parametros[valor])),"S","N"))</f>
        <v/>
      </c>
    </row>
    <row r="16" spans="1:7" x14ac:dyDescent="0.45">
      <c r="E16" t="str">
        <f>IF(OR($C16="", $D16=""),"", IF(OR($C16&lt;_xludf.XLOOKUP("sleep_bad_min_hours",t_sys_parametros[parametro],t_sys_parametros[valor]), $D16&lt;=_xludf.XLOOKUP("sleep_bad_max_quality",t_sys_parametros[parametro],t_sys_parametros[valor])),"S","N"))</f>
        <v/>
      </c>
    </row>
    <row r="17" spans="5:5" x14ac:dyDescent="0.45">
      <c r="E17" t="str">
        <f>IF(OR($C17="", $D17=""),"", IF(OR($C17&lt;_xludf.XLOOKUP("sleep_bad_min_hours",t_sys_parametros[parametro],t_sys_parametros[valor]), $D17&lt;=_xludf.XLOOKUP("sleep_bad_max_quality",t_sys_parametros[parametro],t_sys_parametros[valor])),"S","N"))</f>
        <v/>
      </c>
    </row>
    <row r="18" spans="5:5" x14ac:dyDescent="0.45">
      <c r="E18" t="str">
        <f>IF(OR($C18="", $D18=""),"", IF(OR($C18&lt;_xludf.XLOOKUP("sleep_bad_min_hours",t_sys_parametros[parametro],t_sys_parametros[valor]), $D18&lt;=_xludf.XLOOKUP("sleep_bad_max_quality",t_sys_parametros[parametro],t_sys_parametros[valor])),"S","N"))</f>
        <v/>
      </c>
    </row>
    <row r="19" spans="5:5" x14ac:dyDescent="0.45">
      <c r="E19" t="str">
        <f>IF(OR($C19="", $D19=""),"", IF(OR($C19&lt;_xludf.XLOOKUP("sleep_bad_min_hours",t_sys_parametros[parametro],t_sys_parametros[valor]), $D19&lt;=_xludf.XLOOKUP("sleep_bad_max_quality",t_sys_parametros[parametro],t_sys_parametros[valor])),"S","N"))</f>
        <v/>
      </c>
    </row>
    <row r="20" spans="5:5" x14ac:dyDescent="0.45">
      <c r="E20" t="str">
        <f>IF(OR($C20="", $D20=""),"", IF(OR($C20&lt;_xludf.XLOOKUP("sleep_bad_min_hours",t_sys_parametros[parametro],t_sys_parametros[valor]), $D20&lt;=_xludf.XLOOKUP("sleep_bad_max_quality",t_sys_parametros[parametro],t_sys_parametros[valor])),"S","N"))</f>
        <v/>
      </c>
    </row>
    <row r="21" spans="5:5" x14ac:dyDescent="0.45">
      <c r="E21" t="str">
        <f>IF(OR($C21="", $D21=""),"", IF(OR($C21&lt;_xludf.XLOOKUP("sleep_bad_min_hours",t_sys_parametros[parametro],t_sys_parametros[valor]), $D21&lt;=_xludf.XLOOKUP("sleep_bad_max_quality",t_sys_parametros[parametro],t_sys_parametros[valor])),"S","N"))</f>
        <v/>
      </c>
    </row>
    <row r="22" spans="5:5" x14ac:dyDescent="0.45">
      <c r="E22" t="str">
        <f>IF(OR($C22="", $D22=""),"", IF(OR($C22&lt;_xludf.XLOOKUP("sleep_bad_min_hours",t_sys_parametros[parametro],t_sys_parametros[valor]), $D22&lt;=_xludf.XLOOKUP("sleep_bad_max_quality",t_sys_parametros[parametro],t_sys_parametros[valor])),"S","N"))</f>
        <v/>
      </c>
    </row>
    <row r="23" spans="5:5" x14ac:dyDescent="0.45">
      <c r="E23" t="str">
        <f>IF(OR($C23="", $D23=""),"", IF(OR($C23&lt;_xludf.XLOOKUP("sleep_bad_min_hours",t_sys_parametros[parametro],t_sys_parametros[valor]), $D23&lt;=_xludf.XLOOKUP("sleep_bad_max_quality",t_sys_parametros[parametro],t_sys_parametros[valor])),"S","N"))</f>
        <v/>
      </c>
    </row>
    <row r="24" spans="5:5" x14ac:dyDescent="0.45">
      <c r="E24" t="str">
        <f>IF(OR($C24="", $D24=""),"", IF(OR($C24&lt;_xludf.XLOOKUP("sleep_bad_min_hours",t_sys_parametros[parametro],t_sys_parametros[valor]), $D24&lt;=_xludf.XLOOKUP("sleep_bad_max_quality",t_sys_parametros[parametro],t_sys_parametros[valor])),"S","N"))</f>
        <v/>
      </c>
    </row>
    <row r="25" spans="5:5" x14ac:dyDescent="0.45">
      <c r="E25" t="str">
        <f>IF(OR($C25="", $D25=""),"", IF(OR($C25&lt;_xludf.XLOOKUP("sleep_bad_min_hours",t_sys_parametros[parametro],t_sys_parametros[valor]), $D25&lt;=_xludf.XLOOKUP("sleep_bad_max_quality",t_sys_parametros[parametro],t_sys_parametros[valor])),"S","N"))</f>
        <v/>
      </c>
    </row>
    <row r="26" spans="5:5" x14ac:dyDescent="0.45">
      <c r="E26" t="str">
        <f>IF(OR($C26="", $D26=""),"", IF(OR($C26&lt;_xludf.XLOOKUP("sleep_bad_min_hours",t_sys_parametros[parametro],t_sys_parametros[valor]), $D26&lt;=_xludf.XLOOKUP("sleep_bad_max_quality",t_sys_parametros[parametro],t_sys_parametros[valor])),"S","N"))</f>
        <v/>
      </c>
    </row>
    <row r="27" spans="5:5" x14ac:dyDescent="0.45">
      <c r="E27" t="str">
        <f>IF(OR($C27="", $D27=""),"", IF(OR($C27&lt;_xludf.XLOOKUP("sleep_bad_min_hours",t_sys_parametros[parametro],t_sys_parametros[valor]), $D27&lt;=_xludf.XLOOKUP("sleep_bad_max_quality",t_sys_parametros[parametro],t_sys_parametros[valor])),"S","N"))</f>
        <v/>
      </c>
    </row>
    <row r="28" spans="5:5" x14ac:dyDescent="0.45">
      <c r="E28" t="str">
        <f>IF(OR($C28="", $D28=""),"", IF(OR($C28&lt;_xludf.XLOOKUP("sleep_bad_min_hours",t_sys_parametros[parametro],t_sys_parametros[valor]), $D28&lt;=_xludf.XLOOKUP("sleep_bad_max_quality",t_sys_parametros[parametro],t_sys_parametros[valor])),"S","N"))</f>
        <v/>
      </c>
    </row>
    <row r="29" spans="5:5" x14ac:dyDescent="0.45">
      <c r="E29" t="str">
        <f>IF(OR($C29="", $D29=""),"", IF(OR($C29&lt;_xludf.XLOOKUP("sleep_bad_min_hours",t_sys_parametros[parametro],t_sys_parametros[valor]), $D29&lt;=_xludf.XLOOKUP("sleep_bad_max_quality",t_sys_parametros[parametro],t_sys_parametros[valor])),"S","N"))</f>
        <v/>
      </c>
    </row>
    <row r="30" spans="5:5" x14ac:dyDescent="0.45">
      <c r="E30" t="str">
        <f>IF(OR($C30="", $D30=""),"", IF(OR($C30&lt;_xludf.XLOOKUP("sleep_bad_min_hours",t_sys_parametros[parametro],t_sys_parametros[valor]), $D30&lt;=_xludf.XLOOKUP("sleep_bad_max_quality",t_sys_parametros[parametro],t_sys_parametros[valor])),"S","N"))</f>
        <v/>
      </c>
    </row>
    <row r="31" spans="5:5" x14ac:dyDescent="0.45">
      <c r="E31" t="str">
        <f>IF(OR($C31="", $D31=""),"", IF(OR($C31&lt;_xludf.XLOOKUP("sleep_bad_min_hours",t_sys_parametros[parametro],t_sys_parametros[valor]), $D31&lt;=_xludf.XLOOKUP("sleep_bad_max_quality",t_sys_parametros[parametro],t_sys_parametros[valor])),"S","N"))</f>
        <v/>
      </c>
    </row>
    <row r="32" spans="5:5" x14ac:dyDescent="0.45">
      <c r="E32" t="str">
        <f>IF(OR($C32="", $D32=""),"", IF(OR($C32&lt;_xludf.XLOOKUP("sleep_bad_min_hours",t_sys_parametros[parametro],t_sys_parametros[valor]), $D32&lt;=_xludf.XLOOKUP("sleep_bad_max_quality",t_sys_parametros[parametro],t_sys_parametros[valor])),"S","N"))</f>
        <v/>
      </c>
    </row>
    <row r="33" spans="5:5" x14ac:dyDescent="0.45">
      <c r="E33" t="str">
        <f>IF(OR($C33="", $D33=""),"", IF(OR($C33&lt;_xludf.XLOOKUP("sleep_bad_min_hours",t_sys_parametros[parametro],t_sys_parametros[valor]), $D33&lt;=_xludf.XLOOKUP("sleep_bad_max_quality",t_sys_parametros[parametro],t_sys_parametros[valor])),"S","N"))</f>
        <v/>
      </c>
    </row>
    <row r="34" spans="5:5" x14ac:dyDescent="0.45">
      <c r="E34" t="str">
        <f>IF(OR($C34="", $D34=""),"", IF(OR($C34&lt;_xludf.XLOOKUP("sleep_bad_min_hours",t_sys_parametros[parametro],t_sys_parametros[valor]), $D34&lt;=_xludf.XLOOKUP("sleep_bad_max_quality",t_sys_parametros[parametro],t_sys_parametros[valor])),"S","N"))</f>
        <v/>
      </c>
    </row>
    <row r="35" spans="5:5" x14ac:dyDescent="0.45">
      <c r="E35" t="str">
        <f>IF(OR($C35="", $D35=""),"", IF(OR($C35&lt;_xludf.XLOOKUP("sleep_bad_min_hours",t_sys_parametros[parametro],t_sys_parametros[valor]), $D35&lt;=_xludf.XLOOKUP("sleep_bad_max_quality",t_sys_parametros[parametro],t_sys_parametros[valor])),"S","N"))</f>
        <v/>
      </c>
    </row>
    <row r="36" spans="5:5" x14ac:dyDescent="0.45">
      <c r="E36" t="str">
        <f>IF(OR($C36="", $D36=""),"", IF(OR($C36&lt;_xludf.XLOOKUP("sleep_bad_min_hours",t_sys_parametros[parametro],t_sys_parametros[valor]), $D36&lt;=_xludf.XLOOKUP("sleep_bad_max_quality",t_sys_parametros[parametro],t_sys_parametros[valor])),"S","N"))</f>
        <v/>
      </c>
    </row>
    <row r="37" spans="5:5" x14ac:dyDescent="0.45">
      <c r="E37" t="str">
        <f>IF(OR($C37="", $D37=""),"", IF(OR($C37&lt;_xludf.XLOOKUP("sleep_bad_min_hours",t_sys_parametros[parametro],t_sys_parametros[valor]), $D37&lt;=_xludf.XLOOKUP("sleep_bad_max_quality",t_sys_parametros[parametro],t_sys_parametros[valor])),"S","N"))</f>
        <v/>
      </c>
    </row>
    <row r="38" spans="5:5" x14ac:dyDescent="0.45">
      <c r="E38" t="str">
        <f>IF(OR($C38="", $D38=""),"", IF(OR($C38&lt;_xludf.XLOOKUP("sleep_bad_min_hours",t_sys_parametros[parametro],t_sys_parametros[valor]), $D38&lt;=_xludf.XLOOKUP("sleep_bad_max_quality",t_sys_parametros[parametro],t_sys_parametros[valor])),"S","N"))</f>
        <v/>
      </c>
    </row>
    <row r="39" spans="5:5" x14ac:dyDescent="0.45">
      <c r="E39" t="str">
        <f>IF(OR($C39="", $D39=""),"", IF(OR($C39&lt;_xludf.XLOOKUP("sleep_bad_min_hours",t_sys_parametros[parametro],t_sys_parametros[valor]), $D39&lt;=_xludf.XLOOKUP("sleep_bad_max_quality",t_sys_parametros[parametro],t_sys_parametros[valor])),"S","N"))</f>
        <v/>
      </c>
    </row>
    <row r="40" spans="5:5" x14ac:dyDescent="0.45">
      <c r="E40" t="str">
        <f>IF(OR($C40="", $D40=""),"", IF(OR($C40&lt;_xludf.XLOOKUP("sleep_bad_min_hours",t_sys_parametros[parametro],t_sys_parametros[valor]), $D40&lt;=_xludf.XLOOKUP("sleep_bad_max_quality",t_sys_parametros[parametro],t_sys_parametros[valor])),"S","N"))</f>
        <v/>
      </c>
    </row>
    <row r="41" spans="5:5" x14ac:dyDescent="0.45">
      <c r="E41" t="str">
        <f>IF(OR($C41="", $D41=""),"", IF(OR($C41&lt;_xludf.XLOOKUP("sleep_bad_min_hours",t_sys_parametros[parametro],t_sys_parametros[valor]), $D41&lt;=_xludf.XLOOKUP("sleep_bad_max_quality",t_sys_parametros[parametro],t_sys_parametros[valor])),"S","N"))</f>
        <v/>
      </c>
    </row>
    <row r="42" spans="5:5" x14ac:dyDescent="0.45">
      <c r="E42" t="str">
        <f>IF(OR($C42="", $D42=""),"", IF(OR($C42&lt;_xludf.XLOOKUP("sleep_bad_min_hours",t_sys_parametros[parametro],t_sys_parametros[valor]), $D42&lt;=_xludf.XLOOKUP("sleep_bad_max_quality",t_sys_parametros[parametro],t_sys_parametros[valor])),"S","N"))</f>
        <v/>
      </c>
    </row>
    <row r="43" spans="5:5" x14ac:dyDescent="0.45">
      <c r="E43" t="str">
        <f>IF(OR($C43="", $D43=""),"", IF(OR($C43&lt;_xludf.XLOOKUP("sleep_bad_min_hours",t_sys_parametros[parametro],t_sys_parametros[valor]), $D43&lt;=_xludf.XLOOKUP("sleep_bad_max_quality",t_sys_parametros[parametro],t_sys_parametros[valor])),"S","N"))</f>
        <v/>
      </c>
    </row>
    <row r="44" spans="5:5" x14ac:dyDescent="0.45">
      <c r="E44" t="str">
        <f>IF(OR($C44="", $D44=""),"", IF(OR($C44&lt;_xludf.XLOOKUP("sleep_bad_min_hours",t_sys_parametros[parametro],t_sys_parametros[valor]), $D44&lt;=_xludf.XLOOKUP("sleep_bad_max_quality",t_sys_parametros[parametro],t_sys_parametros[valor])),"S","N"))</f>
        <v/>
      </c>
    </row>
    <row r="45" spans="5:5" x14ac:dyDescent="0.45">
      <c r="E45" t="str">
        <f>IF(OR($C45="", $D45=""),"", IF(OR($C45&lt;_xludf.XLOOKUP("sleep_bad_min_hours",t_sys_parametros[parametro],t_sys_parametros[valor]), $D45&lt;=_xludf.XLOOKUP("sleep_bad_max_quality",t_sys_parametros[parametro],t_sys_parametros[valor])),"S","N"))</f>
        <v/>
      </c>
    </row>
    <row r="46" spans="5:5" x14ac:dyDescent="0.45">
      <c r="E46" t="str">
        <f>IF(OR($C46="", $D46=""),"", IF(OR($C46&lt;_xludf.XLOOKUP("sleep_bad_min_hours",t_sys_parametros[parametro],t_sys_parametros[valor]), $D46&lt;=_xludf.XLOOKUP("sleep_bad_max_quality",t_sys_parametros[parametro],t_sys_parametros[valor])),"S","N"))</f>
        <v/>
      </c>
    </row>
    <row r="47" spans="5:5" x14ac:dyDescent="0.45">
      <c r="E47" t="str">
        <f>IF(OR($C47="", $D47=""),"", IF(OR($C47&lt;_xludf.XLOOKUP("sleep_bad_min_hours",t_sys_parametros[parametro],t_sys_parametros[valor]), $D47&lt;=_xludf.XLOOKUP("sleep_bad_max_quality",t_sys_parametros[parametro],t_sys_parametros[valor])),"S","N"))</f>
        <v/>
      </c>
    </row>
    <row r="48" spans="5:5" x14ac:dyDescent="0.45">
      <c r="E48" t="str">
        <f>IF(OR($C48="", $D48=""),"", IF(OR($C48&lt;_xludf.XLOOKUP("sleep_bad_min_hours",t_sys_parametros[parametro],t_sys_parametros[valor]), $D48&lt;=_xludf.XLOOKUP("sleep_bad_max_quality",t_sys_parametros[parametro],t_sys_parametros[valor])),"S","N"))</f>
        <v/>
      </c>
    </row>
    <row r="49" spans="5:5" x14ac:dyDescent="0.45">
      <c r="E49" t="str">
        <f>IF(OR($C49="", $D49=""),"", IF(OR($C49&lt;_xludf.XLOOKUP("sleep_bad_min_hours",t_sys_parametros[parametro],t_sys_parametros[valor]), $D49&lt;=_xludf.XLOOKUP("sleep_bad_max_quality",t_sys_parametros[parametro],t_sys_parametros[valor])),"S","N"))</f>
        <v/>
      </c>
    </row>
    <row r="50" spans="5:5" x14ac:dyDescent="0.45">
      <c r="E50" t="str">
        <f>IF(OR($C50="", $D50=""),"", IF(OR($C50&lt;_xludf.XLOOKUP("sleep_bad_min_hours",t_sys_parametros[parametro],t_sys_parametros[valor]), $D50&lt;=_xludf.XLOOKUP("sleep_bad_max_quality",t_sys_parametros[parametro],t_sys_parametros[valor])),"S","N"))</f>
        <v/>
      </c>
    </row>
    <row r="51" spans="5:5" x14ac:dyDescent="0.45">
      <c r="E51" t="str">
        <f>IF(OR($C51="", $D51=""),"", IF(OR($C51&lt;_xludf.XLOOKUP("sleep_bad_min_hours",t_sys_parametros[parametro],t_sys_parametros[valor]), $D51&lt;=_xludf.XLOOKUP("sleep_bad_max_quality",t_sys_parametros[parametro],t_sys_parametros[valor])),"S","N"))</f>
        <v/>
      </c>
    </row>
    <row r="52" spans="5:5" x14ac:dyDescent="0.45">
      <c r="E52" t="str">
        <f>IF(OR($C52="", $D52=""),"", IF(OR($C52&lt;_xludf.XLOOKUP("sleep_bad_min_hours",t_sys_parametros[parametro],t_sys_parametros[valor]), $D52&lt;=_xludf.XLOOKUP("sleep_bad_max_quality",t_sys_parametros[parametro],t_sys_parametros[valor])),"S","N"))</f>
        <v/>
      </c>
    </row>
    <row r="53" spans="5:5" x14ac:dyDescent="0.45">
      <c r="E53" t="str">
        <f>IF(OR($C53="", $D53=""),"", IF(OR($C53&lt;_xludf.XLOOKUP("sleep_bad_min_hours",t_sys_parametros[parametro],t_sys_parametros[valor]), $D53&lt;=_xludf.XLOOKUP("sleep_bad_max_quality",t_sys_parametros[parametro],t_sys_parametros[valor])),"S","N"))</f>
        <v/>
      </c>
    </row>
    <row r="54" spans="5:5" x14ac:dyDescent="0.45">
      <c r="E54" t="str">
        <f>IF(OR($C54="", $D54=""),"", IF(OR($C54&lt;_xludf.XLOOKUP("sleep_bad_min_hours",t_sys_parametros[parametro],t_sys_parametros[valor]), $D54&lt;=_xludf.XLOOKUP("sleep_bad_max_quality",t_sys_parametros[parametro],t_sys_parametros[valor])),"S","N"))</f>
        <v/>
      </c>
    </row>
    <row r="55" spans="5:5" x14ac:dyDescent="0.45">
      <c r="E55" t="str">
        <f>IF(OR($C55="", $D55=""),"", IF(OR($C55&lt;_xludf.XLOOKUP("sleep_bad_min_hours",t_sys_parametros[parametro],t_sys_parametros[valor]), $D55&lt;=_xludf.XLOOKUP("sleep_bad_max_quality",t_sys_parametros[parametro],t_sys_parametros[valor])),"S","N"))</f>
        <v/>
      </c>
    </row>
    <row r="56" spans="5:5" x14ac:dyDescent="0.45">
      <c r="E56" t="str">
        <f>IF(OR($C56="", $D56=""),"", IF(OR($C56&lt;_xludf.XLOOKUP("sleep_bad_min_hours",t_sys_parametros[parametro],t_sys_parametros[valor]), $D56&lt;=_xludf.XLOOKUP("sleep_bad_max_quality",t_sys_parametros[parametro],t_sys_parametros[valor])),"S","N"))</f>
        <v/>
      </c>
    </row>
    <row r="57" spans="5:5" x14ac:dyDescent="0.45">
      <c r="E57" t="str">
        <f>IF(OR($C57="", $D57=""),"", IF(OR($C57&lt;_xludf.XLOOKUP("sleep_bad_min_hours",t_sys_parametros[parametro],t_sys_parametros[valor]), $D57&lt;=_xludf.XLOOKUP("sleep_bad_max_quality",t_sys_parametros[parametro],t_sys_parametros[valor])),"S","N"))</f>
        <v/>
      </c>
    </row>
    <row r="58" spans="5:5" x14ac:dyDescent="0.45">
      <c r="E58" t="str">
        <f>IF(OR($C58="", $D58=""),"", IF(OR($C58&lt;_xludf.XLOOKUP("sleep_bad_min_hours",t_sys_parametros[parametro],t_sys_parametros[valor]), $D58&lt;=_xludf.XLOOKUP("sleep_bad_max_quality",t_sys_parametros[parametro],t_sys_parametros[valor])),"S","N"))</f>
        <v/>
      </c>
    </row>
    <row r="59" spans="5:5" x14ac:dyDescent="0.45">
      <c r="E59" t="str">
        <f>IF(OR($C59="", $D59=""),"", IF(OR($C59&lt;_xludf.XLOOKUP("sleep_bad_min_hours",t_sys_parametros[parametro],t_sys_parametros[valor]), $D59&lt;=_xludf.XLOOKUP("sleep_bad_max_quality",t_sys_parametros[parametro],t_sys_parametros[valor])),"S","N"))</f>
        <v/>
      </c>
    </row>
    <row r="60" spans="5:5" x14ac:dyDescent="0.45">
      <c r="E60" t="str">
        <f>IF(OR($C60="", $D60=""),"", IF(OR($C60&lt;_xludf.XLOOKUP("sleep_bad_min_hours",t_sys_parametros[parametro],t_sys_parametros[valor]), $D60&lt;=_xludf.XLOOKUP("sleep_bad_max_quality",t_sys_parametros[parametro],t_sys_parametros[valor])),"S","N"))</f>
        <v/>
      </c>
    </row>
    <row r="61" spans="5:5" x14ac:dyDescent="0.45">
      <c r="E61" t="str">
        <f>IF(OR($C61="", $D61=""),"", IF(OR($C61&lt;_xludf.XLOOKUP("sleep_bad_min_hours",t_sys_parametros[parametro],t_sys_parametros[valor]), $D61&lt;=_xludf.XLOOKUP("sleep_bad_max_quality",t_sys_parametros[parametro],t_sys_parametros[valor])),"S","N"))</f>
        <v/>
      </c>
    </row>
    <row r="62" spans="5:5" x14ac:dyDescent="0.45">
      <c r="E62" t="str">
        <f>IF(OR($C62="", $D62=""),"", IF(OR($C62&lt;_xludf.XLOOKUP("sleep_bad_min_hours",t_sys_parametros[parametro],t_sys_parametros[valor]), $D62&lt;=_xludf.XLOOKUP("sleep_bad_max_quality",t_sys_parametros[parametro],t_sys_parametros[valor])),"S","N"))</f>
        <v/>
      </c>
    </row>
    <row r="63" spans="5:5" x14ac:dyDescent="0.45">
      <c r="E63" t="str">
        <f>IF(OR($C63="", $D63=""),"", IF(OR($C63&lt;_xludf.XLOOKUP("sleep_bad_min_hours",t_sys_parametros[parametro],t_sys_parametros[valor]), $D63&lt;=_xludf.XLOOKUP("sleep_bad_max_quality",t_sys_parametros[parametro],t_sys_parametros[valor])),"S","N"))</f>
        <v/>
      </c>
    </row>
    <row r="64" spans="5:5" x14ac:dyDescent="0.45">
      <c r="E64" t="str">
        <f>IF(OR($C64="", $D64=""),"", IF(OR($C64&lt;_xludf.XLOOKUP("sleep_bad_min_hours",t_sys_parametros[parametro],t_sys_parametros[valor]), $D64&lt;=_xludf.XLOOKUP("sleep_bad_max_quality",t_sys_parametros[parametro],t_sys_parametros[valor])),"S","N"))</f>
        <v/>
      </c>
    </row>
    <row r="65" spans="5:5" x14ac:dyDescent="0.45">
      <c r="E65" t="str">
        <f>IF(OR($C65="", $D65=""),"", IF(OR($C65&lt;_xludf.XLOOKUP("sleep_bad_min_hours",t_sys_parametros[parametro],t_sys_parametros[valor]), $D65&lt;=_xludf.XLOOKUP("sleep_bad_max_quality",t_sys_parametros[parametro],t_sys_parametros[valor])),"S","N"))</f>
        <v/>
      </c>
    </row>
    <row r="66" spans="5:5" x14ac:dyDescent="0.45">
      <c r="E66" t="str">
        <f>IF(OR($C66="", $D66=""),"", IF(OR($C66&lt;_xludf.XLOOKUP("sleep_bad_min_hours",t_sys_parametros[parametro],t_sys_parametros[valor]), $D66&lt;=_xludf.XLOOKUP("sleep_bad_max_quality",t_sys_parametros[parametro],t_sys_parametros[valor])),"S","N"))</f>
        <v/>
      </c>
    </row>
    <row r="67" spans="5:5" x14ac:dyDescent="0.45">
      <c r="E67" t="str">
        <f>IF(OR($C67="", $D67=""),"", IF(OR($C67&lt;_xludf.XLOOKUP("sleep_bad_min_hours",t_sys_parametros[parametro],t_sys_parametros[valor]), $D67&lt;=_xludf.XLOOKUP("sleep_bad_max_quality",t_sys_parametros[parametro],t_sys_parametros[valor])),"S","N"))</f>
        <v/>
      </c>
    </row>
    <row r="68" spans="5:5" x14ac:dyDescent="0.45">
      <c r="E68" t="str">
        <f>IF(OR($C68="", $D68=""),"", IF(OR($C68&lt;_xludf.XLOOKUP("sleep_bad_min_hours",t_sys_parametros[parametro],t_sys_parametros[valor]), $D68&lt;=_xludf.XLOOKUP("sleep_bad_max_quality",t_sys_parametros[parametro],t_sys_parametros[valor])),"S","N"))</f>
        <v/>
      </c>
    </row>
    <row r="69" spans="5:5" x14ac:dyDescent="0.45">
      <c r="E69" t="str">
        <f>IF(OR($C69="", $D69=""),"", IF(OR($C69&lt;_xludf.XLOOKUP("sleep_bad_min_hours",t_sys_parametros[parametro],t_sys_parametros[valor]), $D69&lt;=_xludf.XLOOKUP("sleep_bad_max_quality",t_sys_parametros[parametro],t_sys_parametros[valor])),"S","N"))</f>
        <v/>
      </c>
    </row>
    <row r="70" spans="5:5" x14ac:dyDescent="0.45">
      <c r="E70" t="str">
        <f>IF(OR($C70="", $D70=""),"", IF(OR($C70&lt;_xludf.XLOOKUP("sleep_bad_min_hours",t_sys_parametros[parametro],t_sys_parametros[valor]), $D70&lt;=_xludf.XLOOKUP("sleep_bad_max_quality",t_sys_parametros[parametro],t_sys_parametros[valor])),"S","N"))</f>
        <v/>
      </c>
    </row>
    <row r="71" spans="5:5" x14ac:dyDescent="0.45">
      <c r="E71" t="str">
        <f>IF(OR($C71="", $D71=""),"", IF(OR($C71&lt;_xludf.XLOOKUP("sleep_bad_min_hours",t_sys_parametros[parametro],t_sys_parametros[valor]), $D71&lt;=_xludf.XLOOKUP("sleep_bad_max_quality",t_sys_parametros[parametro],t_sys_parametros[valor])),"S","N"))</f>
        <v/>
      </c>
    </row>
    <row r="72" spans="5:5" x14ac:dyDescent="0.45">
      <c r="E72" t="str">
        <f>IF(OR($C72="", $D72=""),"", IF(OR($C72&lt;_xludf.XLOOKUP("sleep_bad_min_hours",t_sys_parametros[parametro],t_sys_parametros[valor]), $D72&lt;=_xludf.XLOOKUP("sleep_bad_max_quality",t_sys_parametros[parametro],t_sys_parametros[valor])),"S","N"))</f>
        <v/>
      </c>
    </row>
    <row r="73" spans="5:5" x14ac:dyDescent="0.45">
      <c r="E73" t="str">
        <f>IF(OR($C73="", $D73=""),"", IF(OR($C73&lt;_xludf.XLOOKUP("sleep_bad_min_hours",t_sys_parametros[parametro],t_sys_parametros[valor]), $D73&lt;=_xludf.XLOOKUP("sleep_bad_max_quality",t_sys_parametros[parametro],t_sys_parametros[valor])),"S","N"))</f>
        <v/>
      </c>
    </row>
    <row r="74" spans="5:5" x14ac:dyDescent="0.45">
      <c r="E74" t="str">
        <f>IF(OR($C74="", $D74=""),"", IF(OR($C74&lt;_xludf.XLOOKUP("sleep_bad_min_hours",t_sys_parametros[parametro],t_sys_parametros[valor]), $D74&lt;=_xludf.XLOOKUP("sleep_bad_max_quality",t_sys_parametros[parametro],t_sys_parametros[valor])),"S","N"))</f>
        <v/>
      </c>
    </row>
    <row r="75" spans="5:5" x14ac:dyDescent="0.45">
      <c r="E75" t="str">
        <f>IF(OR($C75="", $D75=""),"", IF(OR($C75&lt;_xludf.XLOOKUP("sleep_bad_min_hours",t_sys_parametros[parametro],t_sys_parametros[valor]), $D75&lt;=_xludf.XLOOKUP("sleep_bad_max_quality",t_sys_parametros[parametro],t_sys_parametros[valor])),"S","N"))</f>
        <v/>
      </c>
    </row>
    <row r="76" spans="5:5" x14ac:dyDescent="0.45">
      <c r="E76" t="str">
        <f>IF(OR($C76="", $D76=""),"", IF(OR($C76&lt;_xludf.XLOOKUP("sleep_bad_min_hours",t_sys_parametros[parametro],t_sys_parametros[valor]), $D76&lt;=_xludf.XLOOKUP("sleep_bad_max_quality",t_sys_parametros[parametro],t_sys_parametros[valor])),"S","N"))</f>
        <v/>
      </c>
    </row>
    <row r="77" spans="5:5" x14ac:dyDescent="0.45">
      <c r="E77" t="str">
        <f>IF(OR($C77="", $D77=""),"", IF(OR($C77&lt;_xludf.XLOOKUP("sleep_bad_min_hours",t_sys_parametros[parametro],t_sys_parametros[valor]), $D77&lt;=_xludf.XLOOKUP("sleep_bad_max_quality",t_sys_parametros[parametro],t_sys_parametros[valor])),"S","N"))</f>
        <v/>
      </c>
    </row>
    <row r="78" spans="5:5" x14ac:dyDescent="0.45">
      <c r="E78" t="str">
        <f>IF(OR($C78="", $D78=""),"", IF(OR($C78&lt;_xludf.XLOOKUP("sleep_bad_min_hours",t_sys_parametros[parametro],t_sys_parametros[valor]), $D78&lt;=_xludf.XLOOKUP("sleep_bad_max_quality",t_sys_parametros[parametro],t_sys_parametros[valor])),"S","N"))</f>
        <v/>
      </c>
    </row>
    <row r="79" spans="5:5" x14ac:dyDescent="0.45">
      <c r="E79" t="str">
        <f>IF(OR($C79="", $D79=""),"", IF(OR($C79&lt;_xludf.XLOOKUP("sleep_bad_min_hours",t_sys_parametros[parametro],t_sys_parametros[valor]), $D79&lt;=_xludf.XLOOKUP("sleep_bad_max_quality",t_sys_parametros[parametro],t_sys_parametros[valor])),"S","N"))</f>
        <v/>
      </c>
    </row>
    <row r="80" spans="5:5" x14ac:dyDescent="0.45">
      <c r="E80" t="str">
        <f>IF(OR($C80="", $D80=""),"", IF(OR($C80&lt;_xludf.XLOOKUP("sleep_bad_min_hours",t_sys_parametros[parametro],t_sys_parametros[valor]), $D80&lt;=_xludf.XLOOKUP("sleep_bad_max_quality",t_sys_parametros[parametro],t_sys_parametros[valor])),"S","N"))</f>
        <v/>
      </c>
    </row>
    <row r="81" spans="5:5" x14ac:dyDescent="0.45">
      <c r="E81" t="str">
        <f>IF(OR($C81="", $D81=""),"", IF(OR($C81&lt;_xludf.XLOOKUP("sleep_bad_min_hours",t_sys_parametros[parametro],t_sys_parametros[valor]), $D81&lt;=_xludf.XLOOKUP("sleep_bad_max_quality",t_sys_parametros[parametro],t_sys_parametros[valor])),"S","N"))</f>
        <v/>
      </c>
    </row>
    <row r="82" spans="5:5" x14ac:dyDescent="0.45">
      <c r="E82" t="str">
        <f>IF(OR($C82="", $D82=""),"", IF(OR($C82&lt;_xludf.XLOOKUP("sleep_bad_min_hours",t_sys_parametros[parametro],t_sys_parametros[valor]), $D82&lt;=_xludf.XLOOKUP("sleep_bad_max_quality",t_sys_parametros[parametro],t_sys_parametros[valor])),"S","N"))</f>
        <v/>
      </c>
    </row>
    <row r="83" spans="5:5" x14ac:dyDescent="0.45">
      <c r="E83" t="str">
        <f>IF(OR($C83="", $D83=""),"", IF(OR($C83&lt;_xludf.XLOOKUP("sleep_bad_min_hours",t_sys_parametros[parametro],t_sys_parametros[valor]), $D83&lt;=_xludf.XLOOKUP("sleep_bad_max_quality",t_sys_parametros[parametro],t_sys_parametros[valor])),"S","N"))</f>
        <v/>
      </c>
    </row>
    <row r="84" spans="5:5" x14ac:dyDescent="0.45">
      <c r="E84" t="str">
        <f>IF(OR($C84="", $D84=""),"", IF(OR($C84&lt;_xludf.XLOOKUP("sleep_bad_min_hours",t_sys_parametros[parametro],t_sys_parametros[valor]), $D84&lt;=_xludf.XLOOKUP("sleep_bad_max_quality",t_sys_parametros[parametro],t_sys_parametros[valor])),"S","N"))</f>
        <v/>
      </c>
    </row>
    <row r="85" spans="5:5" x14ac:dyDescent="0.45">
      <c r="E85" t="str">
        <f>IF(OR($C85="", $D85=""),"", IF(OR($C85&lt;_xludf.XLOOKUP("sleep_bad_min_hours",t_sys_parametros[parametro],t_sys_parametros[valor]), $D85&lt;=_xludf.XLOOKUP("sleep_bad_max_quality",t_sys_parametros[parametro],t_sys_parametros[valor])),"S","N"))</f>
        <v/>
      </c>
    </row>
    <row r="86" spans="5:5" x14ac:dyDescent="0.45">
      <c r="E86" t="str">
        <f>IF(OR($C86="", $D86=""),"", IF(OR($C86&lt;_xludf.XLOOKUP("sleep_bad_min_hours",t_sys_parametros[parametro],t_sys_parametros[valor]), $D86&lt;=_xludf.XLOOKUP("sleep_bad_max_quality",t_sys_parametros[parametro],t_sys_parametros[valor])),"S","N"))</f>
        <v/>
      </c>
    </row>
    <row r="87" spans="5:5" x14ac:dyDescent="0.45">
      <c r="E87" t="str">
        <f>IF(OR($C87="", $D87=""),"", IF(OR($C87&lt;_xludf.XLOOKUP("sleep_bad_min_hours",t_sys_parametros[parametro],t_sys_parametros[valor]), $D87&lt;=_xludf.XLOOKUP("sleep_bad_max_quality",t_sys_parametros[parametro],t_sys_parametros[valor])),"S","N"))</f>
        <v/>
      </c>
    </row>
    <row r="88" spans="5:5" x14ac:dyDescent="0.45">
      <c r="E88" t="str">
        <f>IF(OR($C88="", $D88=""),"", IF(OR($C88&lt;_xludf.XLOOKUP("sleep_bad_min_hours",t_sys_parametros[parametro],t_sys_parametros[valor]), $D88&lt;=_xludf.XLOOKUP("sleep_bad_max_quality",t_sys_parametros[parametro],t_sys_parametros[valor])),"S","N"))</f>
        <v/>
      </c>
    </row>
    <row r="89" spans="5:5" x14ac:dyDescent="0.45">
      <c r="E89" t="str">
        <f>IF(OR($C89="", $D89=""),"", IF(OR($C89&lt;_xludf.XLOOKUP("sleep_bad_min_hours",t_sys_parametros[parametro],t_sys_parametros[valor]), $D89&lt;=_xludf.XLOOKUP("sleep_bad_max_quality",t_sys_parametros[parametro],t_sys_parametros[valor])),"S","N"))</f>
        <v/>
      </c>
    </row>
    <row r="90" spans="5:5" x14ac:dyDescent="0.45">
      <c r="E90" t="str">
        <f>IF(OR($C90="", $D90=""),"", IF(OR($C90&lt;_xludf.XLOOKUP("sleep_bad_min_hours",t_sys_parametros[parametro],t_sys_parametros[valor]), $D90&lt;=_xludf.XLOOKUP("sleep_bad_max_quality",t_sys_parametros[parametro],t_sys_parametros[valor])),"S","N"))</f>
        <v/>
      </c>
    </row>
    <row r="91" spans="5:5" x14ac:dyDescent="0.45">
      <c r="E91" t="str">
        <f>IF(OR($C91="", $D91=""),"", IF(OR($C91&lt;_xludf.XLOOKUP("sleep_bad_min_hours",t_sys_parametros[parametro],t_sys_parametros[valor]), $D91&lt;=_xludf.XLOOKUP("sleep_bad_max_quality",t_sys_parametros[parametro],t_sys_parametros[valor])),"S","N"))</f>
        <v/>
      </c>
    </row>
    <row r="92" spans="5:5" x14ac:dyDescent="0.45">
      <c r="E92" t="str">
        <f>IF(OR($C92="", $D92=""),"", IF(OR($C92&lt;_xludf.XLOOKUP("sleep_bad_min_hours",t_sys_parametros[parametro],t_sys_parametros[valor]), $D92&lt;=_xludf.XLOOKUP("sleep_bad_max_quality",t_sys_parametros[parametro],t_sys_parametros[valor])),"S","N"))</f>
        <v/>
      </c>
    </row>
    <row r="93" spans="5:5" x14ac:dyDescent="0.45">
      <c r="E93" t="str">
        <f>IF(OR($C93="", $D93=""),"", IF(OR($C93&lt;_xludf.XLOOKUP("sleep_bad_min_hours",t_sys_parametros[parametro],t_sys_parametros[valor]), $D93&lt;=_xludf.XLOOKUP("sleep_bad_max_quality",t_sys_parametros[parametro],t_sys_parametros[valor])),"S","N"))</f>
        <v/>
      </c>
    </row>
    <row r="94" spans="5:5" x14ac:dyDescent="0.45">
      <c r="E94" t="str">
        <f>IF(OR($C94="", $D94=""),"", IF(OR($C94&lt;_xludf.XLOOKUP("sleep_bad_min_hours",t_sys_parametros[parametro],t_sys_parametros[valor]), $D94&lt;=_xludf.XLOOKUP("sleep_bad_max_quality",t_sys_parametros[parametro],t_sys_parametros[valor])),"S","N"))</f>
        <v/>
      </c>
    </row>
    <row r="95" spans="5:5" x14ac:dyDescent="0.45">
      <c r="E95" t="str">
        <f>IF(OR($C95="", $D95=""),"", IF(OR($C95&lt;_xludf.XLOOKUP("sleep_bad_min_hours",t_sys_parametros[parametro],t_sys_parametros[valor]), $D95&lt;=_xludf.XLOOKUP("sleep_bad_max_quality",t_sys_parametros[parametro],t_sys_parametros[valor])),"S","N"))</f>
        <v/>
      </c>
    </row>
    <row r="96" spans="5:5" x14ac:dyDescent="0.45">
      <c r="E96" t="str">
        <f>IF(OR($C96="", $D96=""),"", IF(OR($C96&lt;_xludf.XLOOKUP("sleep_bad_min_hours",t_sys_parametros[parametro],t_sys_parametros[valor]), $D96&lt;=_xludf.XLOOKUP("sleep_bad_max_quality",t_sys_parametros[parametro],t_sys_parametros[valor])),"S","N"))</f>
        <v/>
      </c>
    </row>
    <row r="97" spans="5:5" x14ac:dyDescent="0.45">
      <c r="E97" t="str">
        <f>IF(OR($C97="", $D97=""),"", IF(OR($C97&lt;_xludf.XLOOKUP("sleep_bad_min_hours",t_sys_parametros[parametro],t_sys_parametros[valor]), $D97&lt;=_xludf.XLOOKUP("sleep_bad_max_quality",t_sys_parametros[parametro],t_sys_parametros[valor])),"S","N"))</f>
        <v/>
      </c>
    </row>
    <row r="98" spans="5:5" x14ac:dyDescent="0.45">
      <c r="E98" t="str">
        <f>IF(OR($C98="", $D98=""),"", IF(OR($C98&lt;_xludf.XLOOKUP("sleep_bad_min_hours",t_sys_parametros[parametro],t_sys_parametros[valor]), $D98&lt;=_xludf.XLOOKUP("sleep_bad_max_quality",t_sys_parametros[parametro],t_sys_parametros[valor])),"S","N"))</f>
        <v/>
      </c>
    </row>
    <row r="99" spans="5:5" x14ac:dyDescent="0.45">
      <c r="E99" t="str">
        <f>IF(OR($C99="", $D99=""),"", IF(OR($C99&lt;_xludf.XLOOKUP("sleep_bad_min_hours",t_sys_parametros[parametro],t_sys_parametros[valor]), $D99&lt;=_xludf.XLOOKUP("sleep_bad_max_quality",t_sys_parametros[parametro],t_sys_parametros[valor])),"S","N"))</f>
        <v/>
      </c>
    </row>
    <row r="100" spans="5:5" x14ac:dyDescent="0.45">
      <c r="E100" t="str">
        <f>IF(OR($C100="", $D100=""),"", IF(OR($C100&lt;_xludf.XLOOKUP("sleep_bad_min_hours",t_sys_parametros[parametro],t_sys_parametros[valor]), $D100&lt;=_xludf.XLOOKUP("sleep_bad_max_quality",t_sys_parametros[parametro],t_sys_parametros[valor])),"S","N"))</f>
        <v/>
      </c>
    </row>
    <row r="101" spans="5:5" x14ac:dyDescent="0.45">
      <c r="E101" t="str">
        <f>IF(OR($C101="", $D101=""),"", IF(OR($C101&lt;_xludf.XLOOKUP("sleep_bad_min_hours",t_sys_parametros[parametro],t_sys_parametros[valor]), $D101&lt;=_xludf.XLOOKUP("sleep_bad_max_quality",t_sys_parametros[parametro],t_sys_parametros[valor])),"S","N"))</f>
        <v/>
      </c>
    </row>
    <row r="102" spans="5:5" x14ac:dyDescent="0.45">
      <c r="E102" t="str">
        <f>IF(OR($C102="", $D102=""),"", IF(OR($C102&lt;_xludf.XLOOKUP("sleep_bad_min_hours",t_sys_parametros[parametro],t_sys_parametros[valor]), $D102&lt;=_xludf.XLOOKUP("sleep_bad_max_quality",t_sys_parametros[parametro],t_sys_parametros[valor])),"S","N"))</f>
        <v/>
      </c>
    </row>
    <row r="103" spans="5:5" x14ac:dyDescent="0.45">
      <c r="E103" t="str">
        <f>IF(OR($C103="", $D103=""),"", IF(OR($C103&lt;_xludf.XLOOKUP("sleep_bad_min_hours",t_sys_parametros[parametro],t_sys_parametros[valor]), $D103&lt;=_xludf.XLOOKUP("sleep_bad_max_quality",t_sys_parametros[parametro],t_sys_parametros[valor])),"S","N"))</f>
        <v/>
      </c>
    </row>
    <row r="104" spans="5:5" x14ac:dyDescent="0.45">
      <c r="E104" t="str">
        <f>IF(OR($C104="", $D104=""),"", IF(OR($C104&lt;_xludf.XLOOKUP("sleep_bad_min_hours",t_sys_parametros[parametro],t_sys_parametros[valor]), $D104&lt;=_xludf.XLOOKUP("sleep_bad_max_quality",t_sys_parametros[parametro],t_sys_parametros[valor])),"S","N"))</f>
        <v/>
      </c>
    </row>
    <row r="105" spans="5:5" x14ac:dyDescent="0.45">
      <c r="E105" t="str">
        <f>IF(OR($C105="", $D105=""),"", IF(OR($C105&lt;_xludf.XLOOKUP("sleep_bad_min_hours",t_sys_parametros[parametro],t_sys_parametros[valor]), $D105&lt;=_xludf.XLOOKUP("sleep_bad_max_quality",t_sys_parametros[parametro],t_sys_parametros[valor])),"S","N"))</f>
        <v/>
      </c>
    </row>
    <row r="106" spans="5:5" x14ac:dyDescent="0.45">
      <c r="E106" t="str">
        <f>IF(OR($C106="", $D106=""),"", IF(OR($C106&lt;_xludf.XLOOKUP("sleep_bad_min_hours",t_sys_parametros[parametro],t_sys_parametros[valor]), $D106&lt;=_xludf.XLOOKUP("sleep_bad_max_quality",t_sys_parametros[parametro],t_sys_parametros[valor])),"S","N"))</f>
        <v/>
      </c>
    </row>
    <row r="107" spans="5:5" x14ac:dyDescent="0.45">
      <c r="E107" t="str">
        <f>IF(OR($C107="", $D107=""),"", IF(OR($C107&lt;_xludf.XLOOKUP("sleep_bad_min_hours",t_sys_parametros[parametro],t_sys_parametros[valor]), $D107&lt;=_xludf.XLOOKUP("sleep_bad_max_quality",t_sys_parametros[parametro],t_sys_parametros[valor])),"S","N"))</f>
        <v/>
      </c>
    </row>
    <row r="108" spans="5:5" x14ac:dyDescent="0.45">
      <c r="E108" t="str">
        <f>IF(OR($C108="", $D108=""),"", IF(OR($C108&lt;_xludf.XLOOKUP("sleep_bad_min_hours",t_sys_parametros[parametro],t_sys_parametros[valor]), $D108&lt;=_xludf.XLOOKUP("sleep_bad_max_quality",t_sys_parametros[parametro],t_sys_parametros[valor])),"S","N"))</f>
        <v/>
      </c>
    </row>
    <row r="109" spans="5:5" x14ac:dyDescent="0.45">
      <c r="E109" t="str">
        <f>IF(OR($C109="", $D109=""),"", IF(OR($C109&lt;_xludf.XLOOKUP("sleep_bad_min_hours",t_sys_parametros[parametro],t_sys_parametros[valor]), $D109&lt;=_xludf.XLOOKUP("sleep_bad_max_quality",t_sys_parametros[parametro],t_sys_parametros[valor])),"S","N"))</f>
        <v/>
      </c>
    </row>
    <row r="110" spans="5:5" x14ac:dyDescent="0.45">
      <c r="E110" t="str">
        <f>IF(OR($C110="", $D110=""),"", IF(OR($C110&lt;_xludf.XLOOKUP("sleep_bad_min_hours",t_sys_parametros[parametro],t_sys_parametros[valor]), $D110&lt;=_xludf.XLOOKUP("sleep_bad_max_quality",t_sys_parametros[parametro],t_sys_parametros[valor])),"S","N"))</f>
        <v/>
      </c>
    </row>
    <row r="111" spans="5:5" x14ac:dyDescent="0.45">
      <c r="E111" t="str">
        <f>IF(OR($C111="", $D111=""),"", IF(OR($C111&lt;_xludf.XLOOKUP("sleep_bad_min_hours",t_sys_parametros[parametro],t_sys_parametros[valor]), $D111&lt;=_xludf.XLOOKUP("sleep_bad_max_quality",t_sys_parametros[parametro],t_sys_parametros[valor])),"S","N"))</f>
        <v/>
      </c>
    </row>
    <row r="112" spans="5:5" x14ac:dyDescent="0.45">
      <c r="E112" t="str">
        <f>IF(OR($C112="", $D112=""),"", IF(OR($C112&lt;_xludf.XLOOKUP("sleep_bad_min_hours",t_sys_parametros[parametro],t_sys_parametros[valor]), $D112&lt;=_xludf.XLOOKUP("sleep_bad_max_quality",t_sys_parametros[parametro],t_sys_parametros[valor])),"S","N"))</f>
        <v/>
      </c>
    </row>
    <row r="113" spans="5:5" x14ac:dyDescent="0.45">
      <c r="E113" t="str">
        <f>IF(OR($C113="", $D113=""),"", IF(OR($C113&lt;_xludf.XLOOKUP("sleep_bad_min_hours",t_sys_parametros[parametro],t_sys_parametros[valor]), $D113&lt;=_xludf.XLOOKUP("sleep_bad_max_quality",t_sys_parametros[parametro],t_sys_parametros[valor])),"S","N"))</f>
        <v/>
      </c>
    </row>
    <row r="114" spans="5:5" x14ac:dyDescent="0.45">
      <c r="E114" t="str">
        <f>IF(OR($C114="", $D114=""),"", IF(OR($C114&lt;_xludf.XLOOKUP("sleep_bad_min_hours",t_sys_parametros[parametro],t_sys_parametros[valor]), $D114&lt;=_xludf.XLOOKUP("sleep_bad_max_quality",t_sys_parametros[parametro],t_sys_parametros[valor])),"S","N"))</f>
        <v/>
      </c>
    </row>
    <row r="115" spans="5:5" x14ac:dyDescent="0.45">
      <c r="E115" t="str">
        <f>IF(OR($C115="", $D115=""),"", IF(OR($C115&lt;_xludf.XLOOKUP("sleep_bad_min_hours",t_sys_parametros[parametro],t_sys_parametros[valor]), $D115&lt;=_xludf.XLOOKUP("sleep_bad_max_quality",t_sys_parametros[parametro],t_sys_parametros[valor])),"S","N"))</f>
        <v/>
      </c>
    </row>
    <row r="116" spans="5:5" x14ac:dyDescent="0.45">
      <c r="E116" t="str">
        <f>IF(OR($C116="", $D116=""),"", IF(OR($C116&lt;_xludf.XLOOKUP("sleep_bad_min_hours",t_sys_parametros[parametro],t_sys_parametros[valor]), $D116&lt;=_xludf.XLOOKUP("sleep_bad_max_quality",t_sys_parametros[parametro],t_sys_parametros[valor])),"S","N"))</f>
        <v/>
      </c>
    </row>
    <row r="117" spans="5:5" x14ac:dyDescent="0.45">
      <c r="E117" t="str">
        <f>IF(OR($C117="", $D117=""),"", IF(OR($C117&lt;_xludf.XLOOKUP("sleep_bad_min_hours",t_sys_parametros[parametro],t_sys_parametros[valor]), $D117&lt;=_xludf.XLOOKUP("sleep_bad_max_quality",t_sys_parametros[parametro],t_sys_parametros[valor])),"S","N"))</f>
        <v/>
      </c>
    </row>
    <row r="118" spans="5:5" x14ac:dyDescent="0.45">
      <c r="E118" t="str">
        <f>IF(OR($C118="", $D118=""),"", IF(OR($C118&lt;_xludf.XLOOKUP("sleep_bad_min_hours",t_sys_parametros[parametro],t_sys_parametros[valor]), $D118&lt;=_xludf.XLOOKUP("sleep_bad_max_quality",t_sys_parametros[parametro],t_sys_parametros[valor])),"S","N"))</f>
        <v/>
      </c>
    </row>
    <row r="119" spans="5:5" x14ac:dyDescent="0.45">
      <c r="E119" t="str">
        <f>IF(OR($C119="", $D119=""),"", IF(OR($C119&lt;_xludf.XLOOKUP("sleep_bad_min_hours",t_sys_parametros[parametro],t_sys_parametros[valor]), $D119&lt;=_xludf.XLOOKUP("sleep_bad_max_quality",t_sys_parametros[parametro],t_sys_parametros[valor])),"S","N"))</f>
        <v/>
      </c>
    </row>
    <row r="120" spans="5:5" x14ac:dyDescent="0.45">
      <c r="E120" t="str">
        <f>IF(OR($C120="", $D120=""),"", IF(OR($C120&lt;_xludf.XLOOKUP("sleep_bad_min_hours",t_sys_parametros[parametro],t_sys_parametros[valor]), $D120&lt;=_xludf.XLOOKUP("sleep_bad_max_quality",t_sys_parametros[parametro],t_sys_parametros[valor])),"S","N"))</f>
        <v/>
      </c>
    </row>
    <row r="121" spans="5:5" x14ac:dyDescent="0.45">
      <c r="E121" t="str">
        <f>IF(OR($C121="", $D121=""),"", IF(OR($C121&lt;_xludf.XLOOKUP("sleep_bad_min_hours",t_sys_parametros[parametro],t_sys_parametros[valor]), $D121&lt;=_xludf.XLOOKUP("sleep_bad_max_quality",t_sys_parametros[parametro],t_sys_parametros[valor])),"S","N"))</f>
        <v/>
      </c>
    </row>
    <row r="122" spans="5:5" x14ac:dyDescent="0.45">
      <c r="E122" t="str">
        <f>IF(OR($C122="", $D122=""),"", IF(OR($C122&lt;_xludf.XLOOKUP("sleep_bad_min_hours",t_sys_parametros[parametro],t_sys_parametros[valor]), $D122&lt;=_xludf.XLOOKUP("sleep_bad_max_quality",t_sys_parametros[parametro],t_sys_parametros[valor])),"S","N"))</f>
        <v/>
      </c>
    </row>
    <row r="123" spans="5:5" x14ac:dyDescent="0.45">
      <c r="E123" t="str">
        <f>IF(OR($C123="", $D123=""),"", IF(OR($C123&lt;_xludf.XLOOKUP("sleep_bad_min_hours",t_sys_parametros[parametro],t_sys_parametros[valor]), $D123&lt;=_xludf.XLOOKUP("sleep_bad_max_quality",t_sys_parametros[parametro],t_sys_parametros[valor])),"S","N"))</f>
        <v/>
      </c>
    </row>
    <row r="124" spans="5:5" x14ac:dyDescent="0.45">
      <c r="E124" t="str">
        <f>IF(OR($C124="", $D124=""),"", IF(OR($C124&lt;_xludf.XLOOKUP("sleep_bad_min_hours",t_sys_parametros[parametro],t_sys_parametros[valor]), $D124&lt;=_xludf.XLOOKUP("sleep_bad_max_quality",t_sys_parametros[parametro],t_sys_parametros[valor])),"S","N"))</f>
        <v/>
      </c>
    </row>
    <row r="125" spans="5:5" x14ac:dyDescent="0.45">
      <c r="E125" t="str">
        <f>IF(OR($C125="", $D125=""),"", IF(OR($C125&lt;_xludf.XLOOKUP("sleep_bad_min_hours",t_sys_parametros[parametro],t_sys_parametros[valor]), $D125&lt;=_xludf.XLOOKUP("sleep_bad_max_quality",t_sys_parametros[parametro],t_sys_parametros[valor])),"S","N"))</f>
        <v/>
      </c>
    </row>
    <row r="126" spans="5:5" x14ac:dyDescent="0.45">
      <c r="E126" t="str">
        <f>IF(OR($C126="", $D126=""),"", IF(OR($C126&lt;_xludf.XLOOKUP("sleep_bad_min_hours",t_sys_parametros[parametro],t_sys_parametros[valor]), $D126&lt;=_xludf.XLOOKUP("sleep_bad_max_quality",t_sys_parametros[parametro],t_sys_parametros[valor])),"S","N"))</f>
        <v/>
      </c>
    </row>
    <row r="127" spans="5:5" x14ac:dyDescent="0.45">
      <c r="E127" t="str">
        <f>IF(OR($C127="", $D127=""),"", IF(OR($C127&lt;_xludf.XLOOKUP("sleep_bad_min_hours",t_sys_parametros[parametro],t_sys_parametros[valor]), $D127&lt;=_xludf.XLOOKUP("sleep_bad_max_quality",t_sys_parametros[parametro],t_sys_parametros[valor])),"S","N"))</f>
        <v/>
      </c>
    </row>
    <row r="128" spans="5:5" x14ac:dyDescent="0.45">
      <c r="E128" t="str">
        <f>IF(OR($C128="", $D128=""),"", IF(OR($C128&lt;_xludf.XLOOKUP("sleep_bad_min_hours",t_sys_parametros[parametro],t_sys_parametros[valor]), $D128&lt;=_xludf.XLOOKUP("sleep_bad_max_quality",t_sys_parametros[parametro],t_sys_parametros[valor])),"S","N"))</f>
        <v/>
      </c>
    </row>
    <row r="129" spans="5:5" x14ac:dyDescent="0.45">
      <c r="E129" t="str">
        <f>IF(OR($C129="", $D129=""),"", IF(OR($C129&lt;_xludf.XLOOKUP("sleep_bad_min_hours",t_sys_parametros[parametro],t_sys_parametros[valor]), $D129&lt;=_xludf.XLOOKUP("sleep_bad_max_quality",t_sys_parametros[parametro],t_sys_parametros[valor])),"S","N"))</f>
        <v/>
      </c>
    </row>
    <row r="130" spans="5:5" x14ac:dyDescent="0.45">
      <c r="E130" t="str">
        <f>IF(OR($C130="", $D130=""),"", IF(OR($C130&lt;_xludf.XLOOKUP("sleep_bad_min_hours",t_sys_parametros[parametro],t_sys_parametros[valor]), $D130&lt;=_xludf.XLOOKUP("sleep_bad_max_quality",t_sys_parametros[parametro],t_sys_parametros[valor])),"S","N"))</f>
        <v/>
      </c>
    </row>
    <row r="131" spans="5:5" x14ac:dyDescent="0.45">
      <c r="E131" t="str">
        <f>IF(OR($C131="", $D131=""),"", IF(OR($C131&lt;_xludf.XLOOKUP("sleep_bad_min_hours",t_sys_parametros[parametro],t_sys_parametros[valor]), $D131&lt;=_xludf.XLOOKUP("sleep_bad_max_quality",t_sys_parametros[parametro],t_sys_parametros[valor])),"S","N"))</f>
        <v/>
      </c>
    </row>
    <row r="132" spans="5:5" x14ac:dyDescent="0.45">
      <c r="E132" t="str">
        <f>IF(OR($C132="", $D132=""),"", IF(OR($C132&lt;_xludf.XLOOKUP("sleep_bad_min_hours",t_sys_parametros[parametro],t_sys_parametros[valor]), $D132&lt;=_xludf.XLOOKUP("sleep_bad_max_quality",t_sys_parametros[parametro],t_sys_parametros[valor])),"S","N"))</f>
        <v/>
      </c>
    </row>
    <row r="133" spans="5:5" x14ac:dyDescent="0.45">
      <c r="E133" t="str">
        <f>IF(OR($C133="", $D133=""),"", IF(OR($C133&lt;_xludf.XLOOKUP("sleep_bad_min_hours",t_sys_parametros[parametro],t_sys_parametros[valor]), $D133&lt;=_xludf.XLOOKUP("sleep_bad_max_quality",t_sys_parametros[parametro],t_sys_parametros[valor])),"S","N"))</f>
        <v/>
      </c>
    </row>
    <row r="134" spans="5:5" x14ac:dyDescent="0.45">
      <c r="E134" t="str">
        <f>IF(OR($C134="", $D134=""),"", IF(OR($C134&lt;_xludf.XLOOKUP("sleep_bad_min_hours",t_sys_parametros[parametro],t_sys_parametros[valor]), $D134&lt;=_xludf.XLOOKUP("sleep_bad_max_quality",t_sys_parametros[parametro],t_sys_parametros[valor])),"S","N"))</f>
        <v/>
      </c>
    </row>
    <row r="135" spans="5:5" x14ac:dyDescent="0.45">
      <c r="E135" t="str">
        <f>IF(OR($C135="", $D135=""),"", IF(OR($C135&lt;_xludf.XLOOKUP("sleep_bad_min_hours",t_sys_parametros[parametro],t_sys_parametros[valor]), $D135&lt;=_xludf.XLOOKUP("sleep_bad_max_quality",t_sys_parametros[parametro],t_sys_parametros[valor])),"S","N"))</f>
        <v/>
      </c>
    </row>
    <row r="136" spans="5:5" x14ac:dyDescent="0.45">
      <c r="E136" t="str">
        <f>IF(OR($C136="", $D136=""),"", IF(OR($C136&lt;_xludf.XLOOKUP("sleep_bad_min_hours",t_sys_parametros[parametro],t_sys_parametros[valor]), $D136&lt;=_xludf.XLOOKUP("sleep_bad_max_quality",t_sys_parametros[parametro],t_sys_parametros[valor])),"S","N"))</f>
        <v/>
      </c>
    </row>
    <row r="137" spans="5:5" x14ac:dyDescent="0.45">
      <c r="E137" t="str">
        <f>IF(OR($C137="", $D137=""),"", IF(OR($C137&lt;_xludf.XLOOKUP("sleep_bad_min_hours",t_sys_parametros[parametro],t_sys_parametros[valor]), $D137&lt;=_xludf.XLOOKUP("sleep_bad_max_quality",t_sys_parametros[parametro],t_sys_parametros[valor])),"S","N"))</f>
        <v/>
      </c>
    </row>
    <row r="138" spans="5:5" x14ac:dyDescent="0.45">
      <c r="E138" t="str">
        <f>IF(OR($C138="", $D138=""),"", IF(OR($C138&lt;_xludf.XLOOKUP("sleep_bad_min_hours",t_sys_parametros[parametro],t_sys_parametros[valor]), $D138&lt;=_xludf.XLOOKUP("sleep_bad_max_quality",t_sys_parametros[parametro],t_sys_parametros[valor])),"S","N"))</f>
        <v/>
      </c>
    </row>
    <row r="139" spans="5:5" x14ac:dyDescent="0.45">
      <c r="E139" t="str">
        <f>IF(OR($C139="", $D139=""),"", IF(OR($C139&lt;_xludf.XLOOKUP("sleep_bad_min_hours",t_sys_parametros[parametro],t_sys_parametros[valor]), $D139&lt;=_xludf.XLOOKUP("sleep_bad_max_quality",t_sys_parametros[parametro],t_sys_parametros[valor])),"S","N"))</f>
        <v/>
      </c>
    </row>
    <row r="140" spans="5:5" x14ac:dyDescent="0.45">
      <c r="E140" t="str">
        <f>IF(OR($C140="", $D140=""),"", IF(OR($C140&lt;_xludf.XLOOKUP("sleep_bad_min_hours",t_sys_parametros[parametro],t_sys_parametros[valor]), $D140&lt;=_xludf.XLOOKUP("sleep_bad_max_quality",t_sys_parametros[parametro],t_sys_parametros[valor])),"S","N"))</f>
        <v/>
      </c>
    </row>
    <row r="141" spans="5:5" x14ac:dyDescent="0.45">
      <c r="E141" t="str">
        <f>IF(OR($C141="", $D141=""),"", IF(OR($C141&lt;_xludf.XLOOKUP("sleep_bad_min_hours",t_sys_parametros[parametro],t_sys_parametros[valor]), $D141&lt;=_xludf.XLOOKUP("sleep_bad_max_quality",t_sys_parametros[parametro],t_sys_parametros[valor])),"S","N"))</f>
        <v/>
      </c>
    </row>
    <row r="142" spans="5:5" x14ac:dyDescent="0.45">
      <c r="E142" t="str">
        <f>IF(OR($C142="", $D142=""),"", IF(OR($C142&lt;_xludf.XLOOKUP("sleep_bad_min_hours",t_sys_parametros[parametro],t_sys_parametros[valor]), $D142&lt;=_xludf.XLOOKUP("sleep_bad_max_quality",t_sys_parametros[parametro],t_sys_parametros[valor])),"S","N"))</f>
        <v/>
      </c>
    </row>
    <row r="143" spans="5:5" x14ac:dyDescent="0.45">
      <c r="E143" t="str">
        <f>IF(OR($C143="", $D143=""),"", IF(OR($C143&lt;_xludf.XLOOKUP("sleep_bad_min_hours",t_sys_parametros[parametro],t_sys_parametros[valor]), $D143&lt;=_xludf.XLOOKUP("sleep_bad_max_quality",t_sys_parametros[parametro],t_sys_parametros[valor])),"S","N"))</f>
        <v/>
      </c>
    </row>
    <row r="144" spans="5:5" x14ac:dyDescent="0.45">
      <c r="E144" t="str">
        <f>IF(OR($C144="", $D144=""),"", IF(OR($C144&lt;_xludf.XLOOKUP("sleep_bad_min_hours",t_sys_parametros[parametro],t_sys_parametros[valor]), $D144&lt;=_xludf.XLOOKUP("sleep_bad_max_quality",t_sys_parametros[parametro],t_sys_parametros[valor])),"S","N"))</f>
        <v/>
      </c>
    </row>
    <row r="145" spans="5:5" x14ac:dyDescent="0.45">
      <c r="E145" t="str">
        <f>IF(OR($C145="", $D145=""),"", IF(OR($C145&lt;_xludf.XLOOKUP("sleep_bad_min_hours",t_sys_parametros[parametro],t_sys_parametros[valor]), $D145&lt;=_xludf.XLOOKUP("sleep_bad_max_quality",t_sys_parametros[parametro],t_sys_parametros[valor])),"S","N"))</f>
        <v/>
      </c>
    </row>
    <row r="146" spans="5:5" x14ac:dyDescent="0.45">
      <c r="E146" t="str">
        <f>IF(OR($C146="", $D146=""),"", IF(OR($C146&lt;_xludf.XLOOKUP("sleep_bad_min_hours",t_sys_parametros[parametro],t_sys_parametros[valor]), $D146&lt;=_xludf.XLOOKUP("sleep_bad_max_quality",t_sys_parametros[parametro],t_sys_parametros[valor])),"S","N"))</f>
        <v/>
      </c>
    </row>
    <row r="147" spans="5:5" x14ac:dyDescent="0.45">
      <c r="E147" t="str">
        <f>IF(OR($C147="", $D147=""),"", IF(OR($C147&lt;_xludf.XLOOKUP("sleep_bad_min_hours",t_sys_parametros[parametro],t_sys_parametros[valor]), $D147&lt;=_xludf.XLOOKUP("sleep_bad_max_quality",t_sys_parametros[parametro],t_sys_parametros[valor])),"S","N"))</f>
        <v/>
      </c>
    </row>
    <row r="148" spans="5:5" x14ac:dyDescent="0.45">
      <c r="E148" t="str">
        <f>IF(OR($C148="", $D148=""),"", IF(OR($C148&lt;_xludf.XLOOKUP("sleep_bad_min_hours",t_sys_parametros[parametro],t_sys_parametros[valor]), $D148&lt;=_xludf.XLOOKUP("sleep_bad_max_quality",t_sys_parametros[parametro],t_sys_parametros[valor])),"S","N"))</f>
        <v/>
      </c>
    </row>
    <row r="149" spans="5:5" x14ac:dyDescent="0.45">
      <c r="E149" t="str">
        <f>IF(OR($C149="", $D149=""),"", IF(OR($C149&lt;_xludf.XLOOKUP("sleep_bad_min_hours",t_sys_parametros[parametro],t_sys_parametros[valor]), $D149&lt;=_xludf.XLOOKUP("sleep_bad_max_quality",t_sys_parametros[parametro],t_sys_parametros[valor])),"S","N"))</f>
        <v/>
      </c>
    </row>
    <row r="150" spans="5:5" x14ac:dyDescent="0.45">
      <c r="E150" t="str">
        <f>IF(OR($C150="", $D150=""),"", IF(OR($C150&lt;_xludf.XLOOKUP("sleep_bad_min_hours",t_sys_parametros[parametro],t_sys_parametros[valor]), $D150&lt;=_xludf.XLOOKUP("sleep_bad_max_quality",t_sys_parametros[parametro],t_sys_parametros[valor])),"S","N"))</f>
        <v/>
      </c>
    </row>
    <row r="151" spans="5:5" x14ac:dyDescent="0.45">
      <c r="E151" t="str">
        <f>IF(OR($C151="", $D151=""),"", IF(OR($C151&lt;_xludf.XLOOKUP("sleep_bad_min_hours",t_sys_parametros[parametro],t_sys_parametros[valor]), $D151&lt;=_xludf.XLOOKUP("sleep_bad_max_quality",t_sys_parametros[parametro],t_sys_parametros[valor])),"S","N"))</f>
        <v/>
      </c>
    </row>
    <row r="152" spans="5:5" x14ac:dyDescent="0.45">
      <c r="E152" t="str">
        <f>IF(OR($C152="", $D152=""),"", IF(OR($C152&lt;_xludf.XLOOKUP("sleep_bad_min_hours",t_sys_parametros[parametro],t_sys_parametros[valor]), $D152&lt;=_xludf.XLOOKUP("sleep_bad_max_quality",t_sys_parametros[parametro],t_sys_parametros[valor])),"S","N"))</f>
        <v/>
      </c>
    </row>
    <row r="153" spans="5:5" x14ac:dyDescent="0.45">
      <c r="E153" t="str">
        <f>IF(OR($C153="", $D153=""),"", IF(OR($C153&lt;_xludf.XLOOKUP("sleep_bad_min_hours",t_sys_parametros[parametro],t_sys_parametros[valor]), $D153&lt;=_xludf.XLOOKUP("sleep_bad_max_quality",t_sys_parametros[parametro],t_sys_parametros[valor])),"S","N"))</f>
        <v/>
      </c>
    </row>
    <row r="154" spans="5:5" x14ac:dyDescent="0.45">
      <c r="E154" t="str">
        <f>IF(OR($C154="", $D154=""),"", IF(OR($C154&lt;_xludf.XLOOKUP("sleep_bad_min_hours",t_sys_parametros[parametro],t_sys_parametros[valor]), $D154&lt;=_xludf.XLOOKUP("sleep_bad_max_quality",t_sys_parametros[parametro],t_sys_parametros[valor])),"S","N"))</f>
        <v/>
      </c>
    </row>
    <row r="155" spans="5:5" x14ac:dyDescent="0.45">
      <c r="E155" t="str">
        <f>IF(OR($C155="", $D155=""),"", IF(OR($C155&lt;_xludf.XLOOKUP("sleep_bad_min_hours",t_sys_parametros[parametro],t_sys_parametros[valor]), $D155&lt;=_xludf.XLOOKUP("sleep_bad_max_quality",t_sys_parametros[parametro],t_sys_parametros[valor])),"S","N"))</f>
        <v/>
      </c>
    </row>
    <row r="156" spans="5:5" x14ac:dyDescent="0.45">
      <c r="E156" t="str">
        <f>IF(OR($C156="", $D156=""),"", IF(OR($C156&lt;_xludf.XLOOKUP("sleep_bad_min_hours",t_sys_parametros[parametro],t_sys_parametros[valor]), $D156&lt;=_xludf.XLOOKUP("sleep_bad_max_quality",t_sys_parametros[parametro],t_sys_parametros[valor])),"S","N"))</f>
        <v/>
      </c>
    </row>
    <row r="157" spans="5:5" x14ac:dyDescent="0.45">
      <c r="E157" t="str">
        <f>IF(OR($C157="", $D157=""),"", IF(OR($C157&lt;_xludf.XLOOKUP("sleep_bad_min_hours",t_sys_parametros[parametro],t_sys_parametros[valor]), $D157&lt;=_xludf.XLOOKUP("sleep_bad_max_quality",t_sys_parametros[parametro],t_sys_parametros[valor])),"S","N"))</f>
        <v/>
      </c>
    </row>
    <row r="158" spans="5:5" x14ac:dyDescent="0.45">
      <c r="E158" t="str">
        <f>IF(OR($C158="", $D158=""),"", IF(OR($C158&lt;_xludf.XLOOKUP("sleep_bad_min_hours",t_sys_parametros[parametro],t_sys_parametros[valor]), $D158&lt;=_xludf.XLOOKUP("sleep_bad_max_quality",t_sys_parametros[parametro],t_sys_parametros[valor])),"S","N"))</f>
        <v/>
      </c>
    </row>
    <row r="159" spans="5:5" x14ac:dyDescent="0.45">
      <c r="E159" t="str">
        <f>IF(OR($C159="", $D159=""),"", IF(OR($C159&lt;_xludf.XLOOKUP("sleep_bad_min_hours",t_sys_parametros[parametro],t_sys_parametros[valor]), $D159&lt;=_xludf.XLOOKUP("sleep_bad_max_quality",t_sys_parametros[parametro],t_sys_parametros[valor])),"S","N"))</f>
        <v/>
      </c>
    </row>
    <row r="160" spans="5:5" x14ac:dyDescent="0.45">
      <c r="E160" t="str">
        <f>IF(OR($C160="", $D160=""),"", IF(OR($C160&lt;_xludf.XLOOKUP("sleep_bad_min_hours",t_sys_parametros[parametro],t_sys_parametros[valor]), $D160&lt;=_xludf.XLOOKUP("sleep_bad_max_quality",t_sys_parametros[parametro],t_sys_parametros[valor])),"S","N"))</f>
        <v/>
      </c>
    </row>
    <row r="161" spans="5:5" x14ac:dyDescent="0.45">
      <c r="E161" t="str">
        <f>IF(OR($C161="", $D161=""),"", IF(OR($C161&lt;_xludf.XLOOKUP("sleep_bad_min_hours",t_sys_parametros[parametro],t_sys_parametros[valor]), $D161&lt;=_xludf.XLOOKUP("sleep_bad_max_quality",t_sys_parametros[parametro],t_sys_parametros[valor])),"S","N"))</f>
        <v/>
      </c>
    </row>
    <row r="162" spans="5:5" x14ac:dyDescent="0.45">
      <c r="E162" t="str">
        <f>IF(OR($C162="", $D162=""),"", IF(OR($C162&lt;_xludf.XLOOKUP("sleep_bad_min_hours",t_sys_parametros[parametro],t_sys_parametros[valor]), $D162&lt;=_xludf.XLOOKUP("sleep_bad_max_quality",t_sys_parametros[parametro],t_sys_parametros[valor])),"S","N"))</f>
        <v/>
      </c>
    </row>
    <row r="163" spans="5:5" x14ac:dyDescent="0.45">
      <c r="E163" t="str">
        <f>IF(OR($C163="", $D163=""),"", IF(OR($C163&lt;_xludf.XLOOKUP("sleep_bad_min_hours",t_sys_parametros[parametro],t_sys_parametros[valor]), $D163&lt;=_xludf.XLOOKUP("sleep_bad_max_quality",t_sys_parametros[parametro],t_sys_parametros[valor])),"S","N"))</f>
        <v/>
      </c>
    </row>
    <row r="164" spans="5:5" x14ac:dyDescent="0.45">
      <c r="E164" t="str">
        <f>IF(OR($C164="", $D164=""),"", IF(OR($C164&lt;_xludf.XLOOKUP("sleep_bad_min_hours",t_sys_parametros[parametro],t_sys_parametros[valor]), $D164&lt;=_xludf.XLOOKUP("sleep_bad_max_quality",t_sys_parametros[parametro],t_sys_parametros[valor])),"S","N"))</f>
        <v/>
      </c>
    </row>
    <row r="165" spans="5:5" x14ac:dyDescent="0.45">
      <c r="E165" t="str">
        <f>IF(OR($C165="", $D165=""),"", IF(OR($C165&lt;_xludf.XLOOKUP("sleep_bad_min_hours",t_sys_parametros[parametro],t_sys_parametros[valor]), $D165&lt;=_xludf.XLOOKUP("sleep_bad_max_quality",t_sys_parametros[parametro],t_sys_parametros[valor])),"S","N"))</f>
        <v/>
      </c>
    </row>
    <row r="166" spans="5:5" x14ac:dyDescent="0.45">
      <c r="E166" t="str">
        <f>IF(OR($C166="", $D166=""),"", IF(OR($C166&lt;_xludf.XLOOKUP("sleep_bad_min_hours",t_sys_parametros[parametro],t_sys_parametros[valor]), $D166&lt;=_xludf.XLOOKUP("sleep_bad_max_quality",t_sys_parametros[parametro],t_sys_parametros[valor])),"S","N"))</f>
        <v/>
      </c>
    </row>
    <row r="167" spans="5:5" x14ac:dyDescent="0.45">
      <c r="E167" t="str">
        <f>IF(OR($C167="", $D167=""),"", IF(OR($C167&lt;_xludf.XLOOKUP("sleep_bad_min_hours",t_sys_parametros[parametro],t_sys_parametros[valor]), $D167&lt;=_xludf.XLOOKUP("sleep_bad_max_quality",t_sys_parametros[parametro],t_sys_parametros[valor])),"S","N"))</f>
        <v/>
      </c>
    </row>
    <row r="168" spans="5:5" x14ac:dyDescent="0.45">
      <c r="E168" t="str">
        <f>IF(OR($C168="", $D168=""),"", IF(OR($C168&lt;_xludf.XLOOKUP("sleep_bad_min_hours",t_sys_parametros[parametro],t_sys_parametros[valor]), $D168&lt;=_xludf.XLOOKUP("sleep_bad_max_quality",t_sys_parametros[parametro],t_sys_parametros[valor])),"S","N"))</f>
        <v/>
      </c>
    </row>
    <row r="169" spans="5:5" x14ac:dyDescent="0.45">
      <c r="E169" t="str">
        <f>IF(OR($C169="", $D169=""),"", IF(OR($C169&lt;_xludf.XLOOKUP("sleep_bad_min_hours",t_sys_parametros[parametro],t_sys_parametros[valor]), $D169&lt;=_xludf.XLOOKUP("sleep_bad_max_quality",t_sys_parametros[parametro],t_sys_parametros[valor])),"S","N"))</f>
        <v/>
      </c>
    </row>
    <row r="170" spans="5:5" x14ac:dyDescent="0.45">
      <c r="E170" t="str">
        <f>IF(OR($C170="", $D170=""),"", IF(OR($C170&lt;_xludf.XLOOKUP("sleep_bad_min_hours",t_sys_parametros[parametro],t_sys_parametros[valor]), $D170&lt;=_xludf.XLOOKUP("sleep_bad_max_quality",t_sys_parametros[parametro],t_sys_parametros[valor])),"S","N"))</f>
        <v/>
      </c>
    </row>
    <row r="171" spans="5:5" x14ac:dyDescent="0.45">
      <c r="E171" t="str">
        <f>IF(OR($C171="", $D171=""),"", IF(OR($C171&lt;_xludf.XLOOKUP("sleep_bad_min_hours",t_sys_parametros[parametro],t_sys_parametros[valor]), $D171&lt;=_xludf.XLOOKUP("sleep_bad_max_quality",t_sys_parametros[parametro],t_sys_parametros[valor])),"S","N"))</f>
        <v/>
      </c>
    </row>
    <row r="172" spans="5:5" x14ac:dyDescent="0.45">
      <c r="E172" t="str">
        <f>IF(OR($C172="", $D172=""),"", IF(OR($C172&lt;_xludf.XLOOKUP("sleep_bad_min_hours",t_sys_parametros[parametro],t_sys_parametros[valor]), $D172&lt;=_xludf.XLOOKUP("sleep_bad_max_quality",t_sys_parametros[parametro],t_sys_parametros[valor])),"S","N"))</f>
        <v/>
      </c>
    </row>
    <row r="173" spans="5:5" x14ac:dyDescent="0.45">
      <c r="E173" t="str">
        <f>IF(OR($C173="", $D173=""),"", IF(OR($C173&lt;_xludf.XLOOKUP("sleep_bad_min_hours",t_sys_parametros[parametro],t_sys_parametros[valor]), $D173&lt;=_xludf.XLOOKUP("sleep_bad_max_quality",t_sys_parametros[parametro],t_sys_parametros[valor])),"S","N"))</f>
        <v/>
      </c>
    </row>
    <row r="174" spans="5:5" x14ac:dyDescent="0.45">
      <c r="E174" t="str">
        <f>IF(OR($C174="", $D174=""),"", IF(OR($C174&lt;_xludf.XLOOKUP("sleep_bad_min_hours",t_sys_parametros[parametro],t_sys_parametros[valor]), $D174&lt;=_xludf.XLOOKUP("sleep_bad_max_quality",t_sys_parametros[parametro],t_sys_parametros[valor])),"S","N"))</f>
        <v/>
      </c>
    </row>
    <row r="175" spans="5:5" x14ac:dyDescent="0.45">
      <c r="E175" t="str">
        <f>IF(OR($C175="", $D175=""),"", IF(OR($C175&lt;_xludf.XLOOKUP("sleep_bad_min_hours",t_sys_parametros[parametro],t_sys_parametros[valor]), $D175&lt;=_xludf.XLOOKUP("sleep_bad_max_quality",t_sys_parametros[parametro],t_sys_parametros[valor])),"S","N"))</f>
        <v/>
      </c>
    </row>
    <row r="176" spans="5:5" x14ac:dyDescent="0.45">
      <c r="E176" t="str">
        <f>IF(OR($C176="", $D176=""),"", IF(OR($C176&lt;_xludf.XLOOKUP("sleep_bad_min_hours",t_sys_parametros[parametro],t_sys_parametros[valor]), $D176&lt;=_xludf.XLOOKUP("sleep_bad_max_quality",t_sys_parametros[parametro],t_sys_parametros[valor])),"S","N"))</f>
        <v/>
      </c>
    </row>
    <row r="177" spans="5:5" x14ac:dyDescent="0.45">
      <c r="E177" t="str">
        <f>IF(OR($C177="", $D177=""),"", IF(OR($C177&lt;_xludf.XLOOKUP("sleep_bad_min_hours",t_sys_parametros[parametro],t_sys_parametros[valor]), $D177&lt;=_xludf.XLOOKUP("sleep_bad_max_quality",t_sys_parametros[parametro],t_sys_parametros[valor])),"S","N"))</f>
        <v/>
      </c>
    </row>
    <row r="178" spans="5:5" x14ac:dyDescent="0.45">
      <c r="E178" t="str">
        <f>IF(OR($C178="", $D178=""),"", IF(OR($C178&lt;_xludf.XLOOKUP("sleep_bad_min_hours",t_sys_parametros[parametro],t_sys_parametros[valor]), $D178&lt;=_xludf.XLOOKUP("sleep_bad_max_quality",t_sys_parametros[parametro],t_sys_parametros[valor])),"S","N"))</f>
        <v/>
      </c>
    </row>
    <row r="179" spans="5:5" x14ac:dyDescent="0.45">
      <c r="E179" t="str">
        <f>IF(OR($C179="", $D179=""),"", IF(OR($C179&lt;_xludf.XLOOKUP("sleep_bad_min_hours",t_sys_parametros[parametro],t_sys_parametros[valor]), $D179&lt;=_xludf.XLOOKUP("sleep_bad_max_quality",t_sys_parametros[parametro],t_sys_parametros[valor])),"S","N"))</f>
        <v/>
      </c>
    </row>
    <row r="180" spans="5:5" x14ac:dyDescent="0.45">
      <c r="E180" t="str">
        <f>IF(OR($C180="", $D180=""),"", IF(OR($C180&lt;_xludf.XLOOKUP("sleep_bad_min_hours",t_sys_parametros[parametro],t_sys_parametros[valor]), $D180&lt;=_xludf.XLOOKUP("sleep_bad_max_quality",t_sys_parametros[parametro],t_sys_parametros[valor])),"S","N"))</f>
        <v/>
      </c>
    </row>
    <row r="181" spans="5:5" x14ac:dyDescent="0.45">
      <c r="E181" t="str">
        <f>IF(OR($C181="", $D181=""),"", IF(OR($C181&lt;_xludf.XLOOKUP("sleep_bad_min_hours",t_sys_parametros[parametro],t_sys_parametros[valor]), $D181&lt;=_xludf.XLOOKUP("sleep_bad_max_quality",t_sys_parametros[parametro],t_sys_parametros[valor])),"S","N"))</f>
        <v/>
      </c>
    </row>
    <row r="182" spans="5:5" x14ac:dyDescent="0.45">
      <c r="E182" t="str">
        <f>IF(OR($C182="", $D182=""),"", IF(OR($C182&lt;_xludf.XLOOKUP("sleep_bad_min_hours",t_sys_parametros[parametro],t_sys_parametros[valor]), $D182&lt;=_xludf.XLOOKUP("sleep_bad_max_quality",t_sys_parametros[parametro],t_sys_parametros[valor])),"S","N"))</f>
        <v/>
      </c>
    </row>
    <row r="183" spans="5:5" x14ac:dyDescent="0.45">
      <c r="E183" t="str">
        <f>IF(OR($C183="", $D183=""),"", IF(OR($C183&lt;_xludf.XLOOKUP("sleep_bad_min_hours",t_sys_parametros[parametro],t_sys_parametros[valor]), $D183&lt;=_xludf.XLOOKUP("sleep_bad_max_quality",t_sys_parametros[parametro],t_sys_parametros[valor])),"S","N"))</f>
        <v/>
      </c>
    </row>
    <row r="184" spans="5:5" x14ac:dyDescent="0.45">
      <c r="E184" t="str">
        <f>IF(OR($C184="", $D184=""),"", IF(OR($C184&lt;_xludf.XLOOKUP("sleep_bad_min_hours",t_sys_parametros[parametro],t_sys_parametros[valor]), $D184&lt;=_xludf.XLOOKUP("sleep_bad_max_quality",t_sys_parametros[parametro],t_sys_parametros[valor])),"S","N"))</f>
        <v/>
      </c>
    </row>
    <row r="185" spans="5:5" x14ac:dyDescent="0.45">
      <c r="E185" t="str">
        <f>IF(OR($C185="", $D185=""),"", IF(OR($C185&lt;_xludf.XLOOKUP("sleep_bad_min_hours",t_sys_parametros[parametro],t_sys_parametros[valor]), $D185&lt;=_xludf.XLOOKUP("sleep_bad_max_quality",t_sys_parametros[parametro],t_sys_parametros[valor])),"S","N"))</f>
        <v/>
      </c>
    </row>
    <row r="186" spans="5:5" x14ac:dyDescent="0.45">
      <c r="E186" t="str">
        <f>IF(OR($C186="", $D186=""),"", IF(OR($C186&lt;_xludf.XLOOKUP("sleep_bad_min_hours",t_sys_parametros[parametro],t_sys_parametros[valor]), $D186&lt;=_xludf.XLOOKUP("sleep_bad_max_quality",t_sys_parametros[parametro],t_sys_parametros[valor])),"S","N"))</f>
        <v/>
      </c>
    </row>
    <row r="187" spans="5:5" x14ac:dyDescent="0.45">
      <c r="E187" t="str">
        <f>IF(OR($C187="", $D187=""),"", IF(OR($C187&lt;_xludf.XLOOKUP("sleep_bad_min_hours",t_sys_parametros[parametro],t_sys_parametros[valor]), $D187&lt;=_xludf.XLOOKUP("sleep_bad_max_quality",t_sys_parametros[parametro],t_sys_parametros[valor])),"S","N"))</f>
        <v/>
      </c>
    </row>
    <row r="188" spans="5:5" x14ac:dyDescent="0.45">
      <c r="E188" t="str">
        <f>IF(OR($C188="", $D188=""),"", IF(OR($C188&lt;_xludf.XLOOKUP("sleep_bad_min_hours",t_sys_parametros[parametro],t_sys_parametros[valor]), $D188&lt;=_xludf.XLOOKUP("sleep_bad_max_quality",t_sys_parametros[parametro],t_sys_parametros[valor])),"S","N"))</f>
        <v/>
      </c>
    </row>
    <row r="189" spans="5:5" x14ac:dyDescent="0.45">
      <c r="E189" t="str">
        <f>IF(OR($C189="", $D189=""),"", IF(OR($C189&lt;_xludf.XLOOKUP("sleep_bad_min_hours",t_sys_parametros[parametro],t_sys_parametros[valor]), $D189&lt;=_xludf.XLOOKUP("sleep_bad_max_quality",t_sys_parametros[parametro],t_sys_parametros[valor])),"S","N"))</f>
        <v/>
      </c>
    </row>
    <row r="190" spans="5:5" x14ac:dyDescent="0.45">
      <c r="E190" t="str">
        <f>IF(OR($C190="", $D190=""),"", IF(OR($C190&lt;_xludf.XLOOKUP("sleep_bad_min_hours",t_sys_parametros[parametro],t_sys_parametros[valor]), $D190&lt;=_xludf.XLOOKUP("sleep_bad_max_quality",t_sys_parametros[parametro],t_sys_parametros[valor])),"S","N"))</f>
        <v/>
      </c>
    </row>
    <row r="191" spans="5:5" x14ac:dyDescent="0.45">
      <c r="E191" t="str">
        <f>IF(OR($C191="", $D191=""),"", IF(OR($C191&lt;_xludf.XLOOKUP("sleep_bad_min_hours",t_sys_parametros[parametro],t_sys_parametros[valor]), $D191&lt;=_xludf.XLOOKUP("sleep_bad_max_quality",t_sys_parametros[parametro],t_sys_parametros[valor])),"S","N"))</f>
        <v/>
      </c>
    </row>
    <row r="192" spans="5:5" x14ac:dyDescent="0.45">
      <c r="E192" t="str">
        <f>IF(OR($C192="", $D192=""),"", IF(OR($C192&lt;_xludf.XLOOKUP("sleep_bad_min_hours",t_sys_parametros[parametro],t_sys_parametros[valor]), $D192&lt;=_xludf.XLOOKUP("sleep_bad_max_quality",t_sys_parametros[parametro],t_sys_parametros[valor])),"S","N"))</f>
        <v/>
      </c>
    </row>
    <row r="193" spans="5:5" x14ac:dyDescent="0.45">
      <c r="E193" t="str">
        <f>IF(OR($C193="", $D193=""),"", IF(OR($C193&lt;_xludf.XLOOKUP("sleep_bad_min_hours",t_sys_parametros[parametro],t_sys_parametros[valor]), $D193&lt;=_xludf.XLOOKUP("sleep_bad_max_quality",t_sys_parametros[parametro],t_sys_parametros[valor])),"S","N"))</f>
        <v/>
      </c>
    </row>
    <row r="194" spans="5:5" x14ac:dyDescent="0.45">
      <c r="E194" t="str">
        <f>IF(OR($C194="", $D194=""),"", IF(OR($C194&lt;_xludf.XLOOKUP("sleep_bad_min_hours",t_sys_parametros[parametro],t_sys_parametros[valor]), $D194&lt;=_xludf.XLOOKUP("sleep_bad_max_quality",t_sys_parametros[parametro],t_sys_parametros[valor])),"S","N"))</f>
        <v/>
      </c>
    </row>
    <row r="195" spans="5:5" x14ac:dyDescent="0.45">
      <c r="E195" t="str">
        <f>IF(OR($C195="", $D195=""),"", IF(OR($C195&lt;_xludf.XLOOKUP("sleep_bad_min_hours",t_sys_parametros[parametro],t_sys_parametros[valor]), $D195&lt;=_xludf.XLOOKUP("sleep_bad_max_quality",t_sys_parametros[parametro],t_sys_parametros[valor])),"S","N"))</f>
        <v/>
      </c>
    </row>
    <row r="196" spans="5:5" x14ac:dyDescent="0.45">
      <c r="E196" t="str">
        <f>IF(OR($C196="", $D196=""),"", IF(OR($C196&lt;_xludf.XLOOKUP("sleep_bad_min_hours",t_sys_parametros[parametro],t_sys_parametros[valor]), $D196&lt;=_xludf.XLOOKUP("sleep_bad_max_quality",t_sys_parametros[parametro],t_sys_parametros[valor])),"S","N"))</f>
        <v/>
      </c>
    </row>
    <row r="197" spans="5:5" x14ac:dyDescent="0.45">
      <c r="E197" t="str">
        <f>IF(OR($C197="", $D197=""),"", IF(OR($C197&lt;_xludf.XLOOKUP("sleep_bad_min_hours",t_sys_parametros[parametro],t_sys_parametros[valor]), $D197&lt;=_xludf.XLOOKUP("sleep_bad_max_quality",t_sys_parametros[parametro],t_sys_parametros[valor])),"S","N"))</f>
        <v/>
      </c>
    </row>
    <row r="198" spans="5:5" x14ac:dyDescent="0.45">
      <c r="E198" t="str">
        <f>IF(OR($C198="", $D198=""),"", IF(OR($C198&lt;_xludf.XLOOKUP("sleep_bad_min_hours",t_sys_parametros[parametro],t_sys_parametros[valor]), $D198&lt;=_xludf.XLOOKUP("sleep_bad_max_quality",t_sys_parametros[parametro],t_sys_parametros[valor])),"S","N"))</f>
        <v/>
      </c>
    </row>
    <row r="199" spans="5:5" x14ac:dyDescent="0.45">
      <c r="E199" t="str">
        <f>IF(OR($C199="", $D199=""),"", IF(OR($C199&lt;_xludf.XLOOKUP("sleep_bad_min_hours",t_sys_parametros[parametro],t_sys_parametros[valor]), $D199&lt;=_xludf.XLOOKUP("sleep_bad_max_quality",t_sys_parametros[parametro],t_sys_parametros[valor])),"S","N"))</f>
        <v/>
      </c>
    </row>
    <row r="200" spans="5:5" x14ac:dyDescent="0.45">
      <c r="E200" t="str">
        <f>IF(OR($C200="", $D200=""),"", IF(OR($C200&lt;_xludf.XLOOKUP("sleep_bad_min_hours",t_sys_parametros[parametro],t_sys_parametros[valor]), $D200&lt;=_xludf.XLOOKUP("sleep_bad_max_quality",t_sys_parametros[parametro],t_sys_parametros[valor])),"S","N"))</f>
        <v/>
      </c>
    </row>
  </sheetData>
  <dataValidations count="5">
    <dataValidation type="whole" allowBlank="1" sqref="C2:C2000" xr:uid="{00000000-0002-0000-0900-000000000000}">
      <formula1>0</formula1>
      <formula2>12</formula2>
    </dataValidation>
    <dataValidation type="decimal" allowBlank="1" sqref="C2:C2000" xr:uid="{00000000-0002-0000-0900-000001000000}">
      <formula1>0</formula1>
      <formula2>16</formula2>
    </dataValidation>
    <dataValidation type="whole" allowBlank="1" sqref="D2:D2000" xr:uid="{00000000-0002-0000-0900-000002000000}">
      <formula1>1</formula1>
      <formula2>5</formula2>
    </dataValidation>
    <dataValidation type="list" allowBlank="1" sqref="E2:E2000" xr:uid="{00000000-0002-0000-0900-000003000000}">
      <formula1>lst_sn</formula1>
    </dataValidation>
    <dataValidation type="list" allowBlank="1" sqref="F2:F2000" xr:uid="{00000000-0002-0000-0900-000004000000}">
      <formula1>lst_fuente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3" customWidth="1"/>
    <col min="2" max="2" width="12" customWidth="1"/>
    <col min="3" max="3" width="19" customWidth="1"/>
    <col min="4" max="4" width="22" customWidth="1"/>
    <col min="5" max="5" width="23" customWidth="1"/>
    <col min="6" max="6" width="33" customWidth="1"/>
    <col min="7" max="7" width="21" customWidth="1"/>
    <col min="8" max="8" width="29" customWidth="1"/>
    <col min="9" max="9" width="18" customWidth="1"/>
    <col min="10" max="11" width="12" customWidth="1"/>
  </cols>
  <sheetData>
    <row r="1" spans="1:11" x14ac:dyDescent="0.45">
      <c r="A1" s="4" t="s">
        <v>181</v>
      </c>
      <c r="B1" s="4" t="s">
        <v>165</v>
      </c>
      <c r="C1" s="4" t="s">
        <v>182</v>
      </c>
      <c r="D1" s="4" t="s">
        <v>183</v>
      </c>
      <c r="E1" s="4" t="s">
        <v>184</v>
      </c>
      <c r="F1" s="4" t="s">
        <v>185</v>
      </c>
      <c r="G1" s="4" t="s">
        <v>186</v>
      </c>
      <c r="H1" s="4" t="s">
        <v>187</v>
      </c>
      <c r="I1" s="4" t="s">
        <v>188</v>
      </c>
      <c r="J1" s="4" t="s">
        <v>25</v>
      </c>
      <c r="K1" s="4" t="s">
        <v>104</v>
      </c>
    </row>
  </sheetData>
  <dataValidations count="4">
    <dataValidation type="whole" allowBlank="1" sqref="C2:C2000" xr:uid="{00000000-0002-0000-0A00-000000000000}">
      <formula1>0</formula1>
      <formula2>10</formula2>
    </dataValidation>
    <dataValidation type="list" allowBlank="1" sqref="D2:D2000 F2:I2000" xr:uid="{00000000-0002-0000-0A00-000001000000}">
      <formula1>lst_sn</formula1>
    </dataValidation>
    <dataValidation type="whole" allowBlank="1" sqref="E2:E2000" xr:uid="{00000000-0002-0000-0A00-000002000000}">
      <formula1>0</formula1>
      <formula2>3</formula2>
    </dataValidation>
    <dataValidation type="list" allowBlank="1" sqref="J2:J2000" xr:uid="{00000000-0002-0000-0A00-000007000000}">
      <formula1>lst_fuente</formula1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3" width="12" customWidth="1"/>
    <col min="4" max="4" width="14" customWidth="1"/>
    <col min="5" max="5" width="12" customWidth="1"/>
    <col min="6" max="6" width="18" customWidth="1"/>
    <col min="7" max="8" width="12" customWidth="1"/>
    <col min="9" max="10" width="23" customWidth="1"/>
    <col min="11" max="11" width="22" customWidth="1"/>
    <col min="12" max="13" width="12" customWidth="1"/>
  </cols>
  <sheetData>
    <row r="1" spans="1:13" x14ac:dyDescent="0.45">
      <c r="A1" s="4" t="s">
        <v>189</v>
      </c>
      <c r="B1" s="4" t="s">
        <v>190</v>
      </c>
      <c r="C1" s="4" t="s">
        <v>191</v>
      </c>
      <c r="D1" s="4" t="s">
        <v>168</v>
      </c>
      <c r="E1" s="4" t="s">
        <v>28</v>
      </c>
      <c r="F1" s="4" t="s">
        <v>192</v>
      </c>
      <c r="G1" s="4" t="s">
        <v>193</v>
      </c>
      <c r="H1" s="4" t="s">
        <v>194</v>
      </c>
      <c r="I1" s="4" t="s">
        <v>29</v>
      </c>
      <c r="J1" s="4" t="s">
        <v>195</v>
      </c>
      <c r="K1" s="4" t="s">
        <v>196</v>
      </c>
      <c r="L1" s="4" t="s">
        <v>25</v>
      </c>
      <c r="M1" s="4" t="s">
        <v>104</v>
      </c>
    </row>
  </sheetData>
  <dataValidations count="5">
    <dataValidation type="list" allowBlank="1" sqref="E2:E500" xr:uid="{00000000-0002-0000-0B00-000000000000}">
      <formula1>lst_contexto</formula1>
    </dataValidation>
    <dataValidation type="list" allowBlank="1" sqref="I2:I500" xr:uid="{00000000-0002-0000-0B00-000001000000}">
      <formula1>lst_estrategia_medicacion</formula1>
    </dataValidation>
    <dataValidation type="list" allowBlank="1" sqref="L2:L500" xr:uid="{00000000-0002-0000-0B00-000002000000}">
      <formula1>lst_fuente</formula1>
    </dataValidation>
    <dataValidation type="decimal" allowBlank="1" sqref="H2:H500" xr:uid="{00000000-0002-0000-0B00-000003000000}">
      <formula1>0</formula1>
      <formula2>1000</formula2>
    </dataValidation>
    <dataValidation type="whole" allowBlank="1" sqref="J2:J500" xr:uid="{00000000-0002-0000-0B00-000004000000}">
      <formula1>0</formula1>
      <formula2>1440</formula2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5" customWidth="1"/>
    <col min="2" max="2" width="18" customWidth="1"/>
    <col min="3" max="5" width="12" customWidth="1"/>
  </cols>
  <sheetData>
    <row r="1" spans="1:5" x14ac:dyDescent="0.45">
      <c r="A1" s="4" t="s">
        <v>197</v>
      </c>
      <c r="B1" s="4" t="s">
        <v>198</v>
      </c>
      <c r="C1" s="4" t="s">
        <v>23</v>
      </c>
      <c r="D1" s="4" t="s">
        <v>25</v>
      </c>
      <c r="E1" s="4" t="s">
        <v>104</v>
      </c>
    </row>
  </sheetData>
  <dataValidations count="3">
    <dataValidation type="list" allowBlank="1" sqref="C2:C500" xr:uid="{00000000-0002-0000-0C00-000000000000}">
      <formula1>lst_sensacion</formula1>
    </dataValidation>
    <dataValidation type="list" allowBlank="1" sqref="D2:D500" xr:uid="{00000000-0002-0000-0C00-000001000000}">
      <formula1>lst_fuente</formula1>
    </dataValidation>
    <dataValidation type="whole" allowBlank="1" sqref="B2:B500" xr:uid="{00000000-0002-0000-0C00-000002000000}">
      <formula1>0</formula1>
      <formula2>10000</formula2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16" customWidth="1"/>
    <col min="4" max="4" width="12" customWidth="1"/>
    <col min="5" max="5" width="14" customWidth="1"/>
    <col min="6" max="8" width="12" customWidth="1"/>
  </cols>
  <sheetData>
    <row r="1" spans="1:8" x14ac:dyDescent="0.45">
      <c r="A1" s="4" t="s">
        <v>199</v>
      </c>
      <c r="B1" s="4" t="s">
        <v>165</v>
      </c>
      <c r="C1" s="4" t="s">
        <v>26</v>
      </c>
      <c r="D1" s="4" t="s">
        <v>27</v>
      </c>
      <c r="E1" s="4" t="s">
        <v>168</v>
      </c>
      <c r="F1" s="4" t="s">
        <v>200</v>
      </c>
      <c r="G1" s="4" t="s">
        <v>25</v>
      </c>
      <c r="H1" s="4" t="s">
        <v>104</v>
      </c>
    </row>
  </sheetData>
  <dataValidations count="5">
    <dataValidation type="list" allowBlank="1" sqref="C2:C2000" xr:uid="{00000000-0002-0000-0D00-000000000000}">
      <formula1>lst_tipo_ejercicio</formula1>
    </dataValidation>
    <dataValidation type="list" allowBlank="1" sqref="D2:D2000" xr:uid="{00000000-0002-0000-0D00-000001000000}">
      <formula1>lst_local</formula1>
    </dataValidation>
    <dataValidation type="list" allowBlank="1" sqref="F2:F2000" xr:uid="{00000000-0002-0000-0D00-000002000000}">
      <formula1>lst_sensacion</formula1>
    </dataValidation>
    <dataValidation type="list" allowBlank="1" sqref="G2:G2000" xr:uid="{00000000-0002-0000-0D00-000003000000}">
      <formula1>lst_fuente</formula1>
    </dataValidation>
    <dataValidation type="whole" allowBlank="1" sqref="E2:E2000" xr:uid="{00000000-0002-0000-0D00-000004000000}">
      <formula1>0</formula1>
      <formula2>500</formula2>
    </dataValidation>
  </dataValidation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13" customWidth="1"/>
    <col min="4" max="5" width="12" customWidth="1"/>
  </cols>
  <sheetData>
    <row r="1" spans="1:5" x14ac:dyDescent="0.45">
      <c r="A1" s="4" t="s">
        <v>201</v>
      </c>
      <c r="B1" s="4" t="s">
        <v>202</v>
      </c>
      <c r="C1" s="4" t="s">
        <v>203</v>
      </c>
      <c r="D1" s="4" t="s">
        <v>103</v>
      </c>
      <c r="E1" s="4" t="s">
        <v>104</v>
      </c>
    </row>
    <row r="2" spans="1:5" x14ac:dyDescent="0.45">
      <c r="A2">
        <v>1</v>
      </c>
      <c r="B2" t="s">
        <v>40</v>
      </c>
      <c r="C2" t="s">
        <v>204</v>
      </c>
      <c r="D2" t="s">
        <v>31</v>
      </c>
    </row>
    <row r="3" spans="1:5" x14ac:dyDescent="0.45">
      <c r="A3">
        <v>2</v>
      </c>
      <c r="B3" t="s">
        <v>40</v>
      </c>
      <c r="C3" t="s">
        <v>205</v>
      </c>
      <c r="D3" t="s">
        <v>31</v>
      </c>
    </row>
    <row r="4" spans="1:5" x14ac:dyDescent="0.45">
      <c r="A4">
        <v>3</v>
      </c>
      <c r="B4" t="s">
        <v>40</v>
      </c>
      <c r="C4" t="s">
        <v>206</v>
      </c>
      <c r="D4" t="s">
        <v>31</v>
      </c>
    </row>
    <row r="5" spans="1:5" x14ac:dyDescent="0.45">
      <c r="A5">
        <v>4</v>
      </c>
      <c r="B5" t="s">
        <v>40</v>
      </c>
      <c r="C5" t="s">
        <v>207</v>
      </c>
      <c r="D5" t="s">
        <v>31</v>
      </c>
    </row>
    <row r="6" spans="1:5" x14ac:dyDescent="0.45">
      <c r="A6">
        <v>5</v>
      </c>
      <c r="B6" t="s">
        <v>50</v>
      </c>
      <c r="C6" t="s">
        <v>208</v>
      </c>
      <c r="D6" t="s">
        <v>31</v>
      </c>
    </row>
    <row r="7" spans="1:5" x14ac:dyDescent="0.45">
      <c r="A7">
        <v>6</v>
      </c>
      <c r="B7" t="s">
        <v>50</v>
      </c>
      <c r="C7" t="s">
        <v>209</v>
      </c>
      <c r="D7" t="s">
        <v>31</v>
      </c>
    </row>
    <row r="8" spans="1:5" x14ac:dyDescent="0.45">
      <c r="A8">
        <v>7</v>
      </c>
      <c r="B8" t="s">
        <v>50</v>
      </c>
      <c r="C8" t="s">
        <v>210</v>
      </c>
      <c r="D8" t="s">
        <v>31</v>
      </c>
    </row>
  </sheetData>
  <dataValidations count="2">
    <dataValidation type="list" allowBlank="1" sqref="B2:B500" xr:uid="{00000000-0002-0000-0E00-000000000000}">
      <formula1>lst_categoria_nutricion</formula1>
    </dataValidation>
    <dataValidation type="list" allowBlank="1" sqref="D2:D500" xr:uid="{00000000-0002-0000-0E00-000001000000}">
      <formula1>lst_sn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15" customWidth="1"/>
    <col min="3" max="5" width="12" customWidth="1"/>
  </cols>
  <sheetData>
    <row r="1" spans="1:5" x14ac:dyDescent="0.45">
      <c r="A1" s="4" t="s">
        <v>211</v>
      </c>
      <c r="B1" s="4" t="s">
        <v>197</v>
      </c>
      <c r="C1" s="4" t="s">
        <v>201</v>
      </c>
      <c r="D1" s="4" t="s">
        <v>212</v>
      </c>
      <c r="E1" s="4" t="s">
        <v>104</v>
      </c>
    </row>
  </sheetData>
  <dataValidations count="1">
    <dataValidation type="whole" allowBlank="1" sqref="D2:D5000" xr:uid="{00000000-0002-0000-0F00-000000000000}">
      <formula1>0</formula1>
      <formula2>7</formula2>
    </dataValidation>
  </dataValidation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13" customWidth="1"/>
    <col min="4" max="4" width="12" customWidth="1"/>
  </cols>
  <sheetData>
    <row r="1" spans="1:4" x14ac:dyDescent="0.45">
      <c r="A1" s="4" t="s">
        <v>213</v>
      </c>
      <c r="B1" s="4" t="s">
        <v>165</v>
      </c>
      <c r="C1" s="4" t="s">
        <v>214</v>
      </c>
      <c r="D1" s="4" t="s">
        <v>104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6" width="12" customWidth="1"/>
  </cols>
  <sheetData>
    <row r="1" spans="1:6" x14ac:dyDescent="0.45">
      <c r="A1" s="4" t="s">
        <v>215</v>
      </c>
      <c r="B1" s="4" t="s">
        <v>46</v>
      </c>
      <c r="C1" s="4" t="s">
        <v>61</v>
      </c>
      <c r="D1" s="4" t="s">
        <v>99</v>
      </c>
      <c r="E1" s="4" t="s">
        <v>103</v>
      </c>
      <c r="F1" s="4" t="s">
        <v>104</v>
      </c>
    </row>
  </sheetData>
  <dataValidations count="1">
    <dataValidation type="list" allowBlank="1" sqref="E2:E1000" xr:uid="{00000000-0002-0000-1100-000000000000}">
      <formula1>lst_sn</formula1>
    </dataValidation>
  </dataValidation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12" customWidth="1"/>
    <col min="3" max="3" width="16" customWidth="1"/>
    <col min="4" max="7" width="12" customWidth="1"/>
  </cols>
  <sheetData>
    <row r="1" spans="1:7" x14ac:dyDescent="0.45">
      <c r="A1" s="4" t="s">
        <v>216</v>
      </c>
      <c r="B1" s="4" t="s">
        <v>213</v>
      </c>
      <c r="C1" s="4" t="s">
        <v>215</v>
      </c>
      <c r="D1" s="4" t="s">
        <v>217</v>
      </c>
      <c r="E1" s="4" t="s">
        <v>218</v>
      </c>
      <c r="F1" s="4" t="s">
        <v>99</v>
      </c>
      <c r="G1" s="4" t="s">
        <v>104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5" customWidth="1"/>
    <col min="2" max="2" width="12" customWidth="1"/>
    <col min="3" max="3" width="14" customWidth="1"/>
    <col min="4" max="5" width="12" customWidth="1"/>
  </cols>
  <sheetData>
    <row r="1" spans="1:5" x14ac:dyDescent="0.45">
      <c r="A1" s="4" t="s">
        <v>219</v>
      </c>
      <c r="B1" s="4" t="s">
        <v>61</v>
      </c>
      <c r="C1" s="4" t="s">
        <v>220</v>
      </c>
      <c r="D1" s="4" t="s">
        <v>103</v>
      </c>
      <c r="E1" s="4" t="s">
        <v>104</v>
      </c>
    </row>
    <row r="2" spans="1:5" x14ac:dyDescent="0.45">
      <c r="A2">
        <v>1</v>
      </c>
      <c r="B2" t="s">
        <v>221</v>
      </c>
      <c r="C2" t="s">
        <v>222</v>
      </c>
      <c r="D2" t="s">
        <v>31</v>
      </c>
    </row>
  </sheetData>
  <dataValidations count="1">
    <dataValidation type="list" allowBlank="1" sqref="D2:D200" xr:uid="{00000000-0002-0000-1300-000000000000}">
      <formula1>lst_sn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10</vt:i4>
      </vt:variant>
    </vt:vector>
  </HeadingPairs>
  <TitlesOfParts>
    <vt:vector size="30" baseType="lpstr">
      <vt:lpstr>Dashboard</vt:lpstr>
      <vt:lpstr>cat_listas</vt:lpstr>
      <vt:lpstr>cat_sintoma</vt:lpstr>
      <vt:lpstr>sys_parametros</vt:lpstr>
      <vt:lpstr>objetivos</vt:lpstr>
      <vt:lpstr>acciones</vt:lpstr>
      <vt:lpstr>ejecuciones_accion</vt:lpstr>
      <vt:lpstr>ta</vt:lpstr>
      <vt:lpstr>peso</vt:lpstr>
      <vt:lpstr>sueno</vt:lpstr>
      <vt:lpstr>sintomas</vt:lpstr>
      <vt:lpstr>arritmias_eventos</vt:lpstr>
      <vt:lpstr>actividad_garmin_semana</vt:lpstr>
      <vt:lpstr>anaerobico</vt:lpstr>
      <vt:lpstr>nutricion_items</vt:lpstr>
      <vt:lpstr>nutricion_checklist</vt:lpstr>
      <vt:lpstr>analiticas_panel</vt:lpstr>
      <vt:lpstr>cat_biomarcador</vt:lpstr>
      <vt:lpstr>analiticas_resultados</vt:lpstr>
      <vt:lpstr>cat_medicacion</vt:lpstr>
      <vt:lpstr>lst_categoria_nutricion</vt:lpstr>
      <vt:lpstr>lst_contexto</vt:lpstr>
      <vt:lpstr>lst_estado_ejecucion</vt:lpstr>
      <vt:lpstr>lst_estrategia_medicacion</vt:lpstr>
      <vt:lpstr>lst_fuente</vt:lpstr>
      <vt:lpstr>lst_local</vt:lpstr>
      <vt:lpstr>lst_momento</vt:lpstr>
      <vt:lpstr>lst_sensacion</vt:lpstr>
      <vt:lpstr>lst_sn</vt:lpstr>
      <vt:lpstr>lst_tipo_ejercicio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Guinea</cp:lastModifiedBy>
  <dcterms:created xsi:type="dcterms:W3CDTF">2026-01-04T15:28:33Z</dcterms:created>
  <dcterms:modified xsi:type="dcterms:W3CDTF">2026-01-06T17:34:59Z</dcterms:modified>
</cp:coreProperties>
</file>